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DELL\Documents\Respaldo\Documents\Juan Jose personal\PPO\vacaciones\"/>
    </mc:Choice>
  </mc:AlternateContent>
  <xr:revisionPtr revIDLastSave="0" documentId="13_ncr:1_{06E5CAA5-E734-4F16-BC31-A48995FD236C}" xr6:coauthVersionLast="47" xr6:coauthVersionMax="47" xr10:uidLastSave="{00000000-0000-0000-0000-000000000000}"/>
  <bookViews>
    <workbookView xWindow="-120" yWindow="-120" windowWidth="20730" windowHeight="11160" activeTab="1" xr2:uid="{00000000-000D-0000-FFFF-FFFF00000000}"/>
  </bookViews>
  <sheets>
    <sheet name="Instrucciones" sheetId="11" r:id="rId1"/>
    <sheet name="Dias tomados" sheetId="8" r:id="rId2"/>
    <sheet name="Auxiliar" sheetId="5" state="hidden" r:id="rId3"/>
    <sheet name="Feriados y días laborables" sheetId="9" r:id="rId4"/>
  </sheets>
  <definedNames>
    <definedName name="Feriados">'Feriados y días laborables'!$B$3:$B$30</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9" i="8" l="1"/>
  <c r="BA8" i="8" s="1"/>
  <c r="G2" i="5" l="1"/>
  <c r="G1" i="5"/>
  <c r="EB8" i="8"/>
  <c r="EB9" i="8" s="1"/>
  <c r="EB7" i="8" s="1"/>
  <c r="C8" i="8"/>
  <c r="C9" i="8" s="1"/>
  <c r="C7" i="8" s="1"/>
  <c r="D8" i="8"/>
  <c r="D9" i="8" s="1"/>
  <c r="D7" i="8" s="1"/>
  <c r="E8" i="8"/>
  <c r="E9" i="8" s="1"/>
  <c r="E7" i="8" s="1"/>
  <c r="F8" i="8"/>
  <c r="F9" i="8" s="1"/>
  <c r="F7" i="8" s="1"/>
  <c r="G8" i="8"/>
  <c r="G9" i="8" s="1"/>
  <c r="G7" i="8" s="1"/>
  <c r="H8" i="8"/>
  <c r="H9" i="8" s="1"/>
  <c r="H7" i="8" s="1"/>
  <c r="I8" i="8"/>
  <c r="I9" i="8" s="1"/>
  <c r="I7" i="8" s="1"/>
  <c r="J8" i="8"/>
  <c r="J9" i="8" s="1"/>
  <c r="J7" i="8" s="1"/>
  <c r="K8" i="8"/>
  <c r="K9" i="8" s="1"/>
  <c r="K7" i="8" s="1"/>
  <c r="L8" i="8"/>
  <c r="L9" i="8" s="1"/>
  <c r="L7" i="8" s="1"/>
  <c r="M8" i="8"/>
  <c r="M9" i="8" s="1"/>
  <c r="M7" i="8" s="1"/>
  <c r="N8" i="8"/>
  <c r="N9" i="8" s="1"/>
  <c r="N7" i="8" s="1"/>
  <c r="O8" i="8"/>
  <c r="O9" i="8" s="1"/>
  <c r="O7" i="8" s="1"/>
  <c r="P8" i="8"/>
  <c r="P9" i="8" s="1"/>
  <c r="P7" i="8" s="1"/>
  <c r="Q8" i="8"/>
  <c r="Q9" i="8" s="1"/>
  <c r="Q7" i="8" s="1"/>
  <c r="R8" i="8"/>
  <c r="R9" i="8" s="1"/>
  <c r="R7" i="8" s="1"/>
  <c r="S8" i="8"/>
  <c r="S9" i="8" s="1"/>
  <c r="S7" i="8" s="1"/>
  <c r="T8" i="8"/>
  <c r="T9" i="8" s="1"/>
  <c r="T7" i="8" s="1"/>
  <c r="U8" i="8"/>
  <c r="U9" i="8" s="1"/>
  <c r="U7" i="8" s="1"/>
  <c r="V8" i="8"/>
  <c r="V9" i="8" s="1"/>
  <c r="V7" i="8" s="1"/>
  <c r="W8" i="8"/>
  <c r="W9" i="8" s="1"/>
  <c r="W7" i="8" s="1"/>
  <c r="X8" i="8"/>
  <c r="X9" i="8" s="1"/>
  <c r="X7" i="8" s="1"/>
  <c r="Y8" i="8"/>
  <c r="Y9" i="8" s="1"/>
  <c r="Y7" i="8" s="1"/>
  <c r="Z8" i="8"/>
  <c r="Z9" i="8" s="1"/>
  <c r="Z7" i="8" s="1"/>
  <c r="AA8" i="8"/>
  <c r="AA9" i="8" s="1"/>
  <c r="AA7" i="8" s="1"/>
  <c r="AB8" i="8"/>
  <c r="AB9" i="8" s="1"/>
  <c r="AB7" i="8" s="1"/>
  <c r="AC8" i="8"/>
  <c r="AC9" i="8" s="1"/>
  <c r="AC7" i="8" s="1"/>
  <c r="AD8" i="8"/>
  <c r="AD9" i="8" s="1"/>
  <c r="AD7" i="8" s="1"/>
  <c r="AE8" i="8"/>
  <c r="AE9" i="8" s="1"/>
  <c r="AE7" i="8" s="1"/>
  <c r="AF8" i="8"/>
  <c r="AF9" i="8" s="1"/>
  <c r="AF7" i="8" s="1"/>
  <c r="AG8" i="8"/>
  <c r="AG9" i="8" s="1"/>
  <c r="AG7" i="8" s="1"/>
  <c r="AH8" i="8"/>
  <c r="AH9" i="8" s="1"/>
  <c r="AH7" i="8" s="1"/>
  <c r="AI8" i="8"/>
  <c r="AI9" i="8" s="1"/>
  <c r="AI7" i="8" s="1"/>
  <c r="AJ8" i="8"/>
  <c r="AJ9" i="8" s="1"/>
  <c r="AJ7" i="8" s="1"/>
  <c r="AK8" i="8"/>
  <c r="AK9" i="8" s="1"/>
  <c r="AK7" i="8" s="1"/>
  <c r="AL8" i="8"/>
  <c r="AL9" i="8" s="1"/>
  <c r="AL7" i="8" s="1"/>
  <c r="AM8" i="8"/>
  <c r="AM9" i="8" s="1"/>
  <c r="AM7" i="8" s="1"/>
  <c r="AN8" i="8"/>
  <c r="AN9" i="8" s="1"/>
  <c r="AN7" i="8" s="1"/>
  <c r="AO8" i="8"/>
  <c r="AO9" i="8" s="1"/>
  <c r="AO7" i="8" s="1"/>
  <c r="AP8" i="8"/>
  <c r="AP9" i="8" s="1"/>
  <c r="AP7" i="8" s="1"/>
  <c r="AQ8" i="8"/>
  <c r="AQ9" i="8" s="1"/>
  <c r="AQ7" i="8" s="1"/>
  <c r="AR8" i="8"/>
  <c r="AR9" i="8" s="1"/>
  <c r="AR7" i="8" s="1"/>
  <c r="AS8" i="8"/>
  <c r="AS9" i="8" s="1"/>
  <c r="AS7" i="8" s="1"/>
  <c r="AT8" i="8"/>
  <c r="AT9" i="8" s="1"/>
  <c r="AT7" i="8" s="1"/>
  <c r="AU8" i="8"/>
  <c r="AU9" i="8" s="1"/>
  <c r="AU7" i="8" s="1"/>
  <c r="AV8" i="8"/>
  <c r="AV9" i="8" s="1"/>
  <c r="AV7" i="8" s="1"/>
  <c r="AW8" i="8"/>
  <c r="AW9" i="8" s="1"/>
  <c r="AW7" i="8" s="1"/>
  <c r="AX8" i="8"/>
  <c r="AX9" i="8" s="1"/>
  <c r="AX7" i="8" s="1"/>
  <c r="AY8" i="8"/>
  <c r="AY9" i="8" s="1"/>
  <c r="AY7" i="8" s="1"/>
  <c r="AZ8" i="8"/>
  <c r="AZ9" i="8" s="1"/>
  <c r="AZ7" i="8" s="1"/>
  <c r="BA7" i="8"/>
  <c r="BB8" i="8"/>
  <c r="BB9" i="8" s="1"/>
  <c r="BB7" i="8" s="1"/>
  <c r="BC8" i="8"/>
  <c r="BC9" i="8" s="1"/>
  <c r="BC7" i="8" s="1"/>
  <c r="BD8" i="8"/>
  <c r="BD9" i="8" s="1"/>
  <c r="BD7" i="8" s="1"/>
  <c r="BE8" i="8"/>
  <c r="BE9" i="8" s="1"/>
  <c r="BE7" i="8" s="1"/>
  <c r="BF8" i="8"/>
  <c r="BF9" i="8" s="1"/>
  <c r="BF7" i="8" s="1"/>
  <c r="BG8" i="8"/>
  <c r="BG9" i="8" s="1"/>
  <c r="BG7" i="8" s="1"/>
  <c r="BH8" i="8"/>
  <c r="BH9" i="8" s="1"/>
  <c r="BH7" i="8" s="1"/>
  <c r="BI8" i="8"/>
  <c r="BI9" i="8" s="1"/>
  <c r="BI7" i="8" s="1"/>
  <c r="BJ8" i="8"/>
  <c r="BJ9" i="8" s="1"/>
  <c r="BJ7" i="8" s="1"/>
  <c r="BK8" i="8"/>
  <c r="BK9" i="8" s="1"/>
  <c r="BK7" i="8" s="1"/>
  <c r="BL8" i="8"/>
  <c r="BL9" i="8" s="1"/>
  <c r="BL7" i="8" s="1"/>
  <c r="BM8" i="8"/>
  <c r="BM9" i="8" s="1"/>
  <c r="BM7" i="8" s="1"/>
  <c r="BN8" i="8"/>
  <c r="BN9" i="8" s="1"/>
  <c r="BN7" i="8" s="1"/>
  <c r="BO8" i="8"/>
  <c r="BO9" i="8" s="1"/>
  <c r="BO7" i="8" s="1"/>
  <c r="BP8" i="8"/>
  <c r="BP9" i="8" s="1"/>
  <c r="BP7" i="8" s="1"/>
  <c r="BQ8" i="8"/>
  <c r="BQ9" i="8" s="1"/>
  <c r="BQ7" i="8" s="1"/>
  <c r="BR8" i="8"/>
  <c r="BR9" i="8" s="1"/>
  <c r="BR7" i="8" s="1"/>
  <c r="BS8" i="8"/>
  <c r="BS9" i="8" s="1"/>
  <c r="BS7" i="8" s="1"/>
  <c r="BT8" i="8"/>
  <c r="BT9" i="8" s="1"/>
  <c r="BT7" i="8" s="1"/>
  <c r="BU8" i="8"/>
  <c r="BU9" i="8" s="1"/>
  <c r="BU7" i="8" s="1"/>
  <c r="BV8" i="8"/>
  <c r="BV9" i="8" s="1"/>
  <c r="BV7" i="8" s="1"/>
  <c r="BW8" i="8"/>
  <c r="BW9" i="8" s="1"/>
  <c r="BW7" i="8" s="1"/>
  <c r="BX8" i="8"/>
  <c r="BX9" i="8" s="1"/>
  <c r="BX7" i="8" s="1"/>
  <c r="BY8" i="8"/>
  <c r="BY9" i="8" s="1"/>
  <c r="BY7" i="8" s="1"/>
  <c r="BZ8" i="8"/>
  <c r="BZ9" i="8" s="1"/>
  <c r="BZ7" i="8" s="1"/>
  <c r="CA8" i="8"/>
  <c r="CA9" i="8" s="1"/>
  <c r="CA7" i="8" s="1"/>
  <c r="CB8" i="8"/>
  <c r="CB9" i="8" s="1"/>
  <c r="CB7" i="8" s="1"/>
  <c r="CC8" i="8"/>
  <c r="CC9" i="8" s="1"/>
  <c r="CC7" i="8" s="1"/>
  <c r="CD8" i="8"/>
  <c r="CD9" i="8" s="1"/>
  <c r="CD7" i="8" s="1"/>
  <c r="CE8" i="8"/>
  <c r="CE9" i="8" s="1"/>
  <c r="CE7" i="8" s="1"/>
  <c r="CF8" i="8"/>
  <c r="CF9" i="8" s="1"/>
  <c r="CF7" i="8" s="1"/>
  <c r="CG8" i="8"/>
  <c r="CG9" i="8" s="1"/>
  <c r="CG7" i="8" s="1"/>
  <c r="CH8" i="8"/>
  <c r="CH9" i="8" s="1"/>
  <c r="CH7" i="8" s="1"/>
  <c r="CI8" i="8"/>
  <c r="CI9" i="8" s="1"/>
  <c r="CI7" i="8" s="1"/>
  <c r="CJ8" i="8"/>
  <c r="CJ9" i="8" s="1"/>
  <c r="CJ7" i="8" s="1"/>
  <c r="CK8" i="8"/>
  <c r="CK9" i="8" s="1"/>
  <c r="CK7" i="8" s="1"/>
  <c r="CL8" i="8"/>
  <c r="CL9" i="8" s="1"/>
  <c r="CL7" i="8" s="1"/>
  <c r="CM8" i="8"/>
  <c r="CM9" i="8" s="1"/>
  <c r="CM7" i="8" s="1"/>
  <c r="CN8" i="8"/>
  <c r="CN9" i="8" s="1"/>
  <c r="CN7" i="8" s="1"/>
  <c r="CO8" i="8"/>
  <c r="CO9" i="8" s="1"/>
  <c r="CO7" i="8" s="1"/>
  <c r="CP8" i="8"/>
  <c r="CP9" i="8" s="1"/>
  <c r="CP7" i="8" s="1"/>
  <c r="CQ8" i="8"/>
  <c r="CQ9" i="8" s="1"/>
  <c r="CQ7" i="8" s="1"/>
  <c r="CR8" i="8"/>
  <c r="CR9" i="8" s="1"/>
  <c r="CR7" i="8" s="1"/>
  <c r="CS8" i="8"/>
  <c r="CS9" i="8" s="1"/>
  <c r="CS7" i="8" s="1"/>
  <c r="CT8" i="8"/>
  <c r="CT9" i="8" s="1"/>
  <c r="CT7" i="8" s="1"/>
  <c r="CU8" i="8"/>
  <c r="CU9" i="8" s="1"/>
  <c r="CU7" i="8" s="1"/>
  <c r="CV8" i="8"/>
  <c r="CV9" i="8" s="1"/>
  <c r="CV7" i="8" s="1"/>
  <c r="CW8" i="8"/>
  <c r="CW9" i="8" s="1"/>
  <c r="CW7" i="8" s="1"/>
  <c r="CX8" i="8"/>
  <c r="CX9" i="8" s="1"/>
  <c r="CX7" i="8" s="1"/>
  <c r="CY8" i="8"/>
  <c r="CY9" i="8" s="1"/>
  <c r="CY7" i="8" s="1"/>
  <c r="CZ8" i="8"/>
  <c r="CZ9" i="8" s="1"/>
  <c r="CZ7" i="8" s="1"/>
  <c r="DA8" i="8"/>
  <c r="DA9" i="8" s="1"/>
  <c r="DA7" i="8" s="1"/>
  <c r="DB8" i="8"/>
  <c r="DB9" i="8" s="1"/>
  <c r="DB7" i="8" s="1"/>
  <c r="DC8" i="8"/>
  <c r="DC9" i="8" s="1"/>
  <c r="DC7" i="8" s="1"/>
  <c r="DD8" i="8"/>
  <c r="DD9" i="8" s="1"/>
  <c r="DD7" i="8" s="1"/>
  <c r="DE8" i="8"/>
  <c r="DE9" i="8" s="1"/>
  <c r="DE7" i="8" s="1"/>
  <c r="DF8" i="8"/>
  <c r="DF9" i="8" s="1"/>
  <c r="DF7" i="8" s="1"/>
  <c r="DG8" i="8"/>
  <c r="DG9" i="8" s="1"/>
  <c r="DG7" i="8" s="1"/>
  <c r="DH8" i="8"/>
  <c r="DH9" i="8" s="1"/>
  <c r="DH7" i="8" s="1"/>
  <c r="DI8" i="8"/>
  <c r="DI9" i="8" s="1"/>
  <c r="DI7" i="8" s="1"/>
  <c r="DJ8" i="8"/>
  <c r="DJ9" i="8" s="1"/>
  <c r="DJ7" i="8" s="1"/>
  <c r="DK8" i="8"/>
  <c r="DK9" i="8" s="1"/>
  <c r="DK7" i="8" s="1"/>
  <c r="DL8" i="8"/>
  <c r="DL9" i="8" s="1"/>
  <c r="DL7" i="8" s="1"/>
  <c r="DM8" i="8"/>
  <c r="DM9" i="8" s="1"/>
  <c r="DM7" i="8" s="1"/>
  <c r="DN8" i="8"/>
  <c r="DN9" i="8" s="1"/>
  <c r="DN7" i="8" s="1"/>
  <c r="DO8" i="8"/>
  <c r="DO9" i="8" s="1"/>
  <c r="DO7" i="8" s="1"/>
  <c r="DP8" i="8"/>
  <c r="DP9" i="8" s="1"/>
  <c r="DP7" i="8" s="1"/>
  <c r="DQ8" i="8"/>
  <c r="DQ9" i="8" s="1"/>
  <c r="DQ7" i="8" s="1"/>
  <c r="DR8" i="8"/>
  <c r="DR9" i="8" s="1"/>
  <c r="DR7" i="8" s="1"/>
  <c r="DS8" i="8"/>
  <c r="DS9" i="8" s="1"/>
  <c r="DS7" i="8" s="1"/>
  <c r="DT8" i="8"/>
  <c r="DT9" i="8" s="1"/>
  <c r="DT7" i="8" s="1"/>
  <c r="DU8" i="8"/>
  <c r="DU9" i="8" s="1"/>
  <c r="DU7" i="8" s="1"/>
  <c r="DV8" i="8"/>
  <c r="DV9" i="8" s="1"/>
  <c r="DV7" i="8" s="1"/>
  <c r="DW8" i="8"/>
  <c r="DW9" i="8" s="1"/>
  <c r="DW7" i="8" s="1"/>
  <c r="DX8" i="8"/>
  <c r="DX9" i="8" s="1"/>
  <c r="DX7" i="8" s="1"/>
  <c r="DY8" i="8"/>
  <c r="DY9" i="8" s="1"/>
  <c r="DY7" i="8" s="1"/>
  <c r="DZ8" i="8"/>
  <c r="DZ9" i="8" s="1"/>
  <c r="DZ7" i="8" s="1"/>
  <c r="EA8" i="8"/>
  <c r="EA9" i="8" s="1"/>
  <c r="EA7" i="8" s="1"/>
  <c r="EC8" i="8"/>
  <c r="EC9" i="8" s="1"/>
  <c r="EC7" i="8" s="1"/>
  <c r="ED8" i="8"/>
  <c r="ED9" i="8" s="1"/>
  <c r="ED7" i="8" s="1"/>
  <c r="EE8" i="8"/>
  <c r="EE9" i="8" s="1"/>
  <c r="EE7" i="8" s="1"/>
  <c r="EF8" i="8"/>
  <c r="EF9" i="8" s="1"/>
  <c r="EF7" i="8" s="1"/>
  <c r="EG8" i="8"/>
  <c r="EG9" i="8" s="1"/>
  <c r="EG7" i="8" s="1"/>
  <c r="EH8" i="8"/>
  <c r="EH9" i="8" s="1"/>
  <c r="EH7" i="8" s="1"/>
  <c r="EI8" i="8"/>
  <c r="EI9" i="8" s="1"/>
  <c r="EI7" i="8" s="1"/>
  <c r="EJ8" i="8"/>
  <c r="EJ9" i="8" s="1"/>
  <c r="EJ7" i="8" s="1"/>
  <c r="EK8" i="8"/>
  <c r="EK9" i="8" s="1"/>
  <c r="EK7" i="8" s="1"/>
  <c r="EL8" i="8"/>
  <c r="EL9" i="8" s="1"/>
  <c r="EL7" i="8" s="1"/>
  <c r="EM8" i="8"/>
  <c r="EM9" i="8" s="1"/>
  <c r="EM7" i="8" s="1"/>
  <c r="EN8" i="8"/>
  <c r="EN9" i="8" s="1"/>
  <c r="EN7" i="8" s="1"/>
  <c r="EO8" i="8"/>
  <c r="EO9" i="8" s="1"/>
  <c r="EO7" i="8" s="1"/>
  <c r="EP8" i="8"/>
  <c r="EP9" i="8" s="1"/>
  <c r="EP7" i="8" s="1"/>
  <c r="EQ8" i="8"/>
  <c r="EQ9" i="8" s="1"/>
  <c r="EQ7" i="8" s="1"/>
  <c r="ER8" i="8"/>
  <c r="ER9" i="8" s="1"/>
  <c r="ER7" i="8" s="1"/>
  <c r="ES8" i="8"/>
  <c r="ES9" i="8" s="1"/>
  <c r="ES7" i="8" s="1"/>
  <c r="ET8" i="8"/>
  <c r="ET9" i="8" s="1"/>
  <c r="ET7" i="8" s="1"/>
  <c r="EU8" i="8"/>
  <c r="EU9" i="8" s="1"/>
  <c r="EU7" i="8" s="1"/>
  <c r="EV8" i="8"/>
  <c r="EV9" i="8" s="1"/>
  <c r="EV7" i="8" s="1"/>
  <c r="EW8" i="8"/>
  <c r="EW9" i="8" s="1"/>
  <c r="EW7" i="8" s="1"/>
  <c r="EX8" i="8"/>
  <c r="EX9" i="8" s="1"/>
  <c r="EX7" i="8" s="1"/>
  <c r="EY8" i="8"/>
  <c r="EY9" i="8" s="1"/>
  <c r="EZ8" i="8"/>
  <c r="EZ9" i="8" s="1"/>
  <c r="EZ7" i="8" s="1"/>
  <c r="FA8" i="8"/>
  <c r="FA9" i="8" s="1"/>
  <c r="FA7" i="8" s="1"/>
  <c r="FB8" i="8"/>
  <c r="FB9" i="8" s="1"/>
  <c r="FB7" i="8" s="1"/>
  <c r="FC8" i="8"/>
  <c r="FC9" i="8" s="1"/>
  <c r="FC7" i="8" s="1"/>
  <c r="FD8" i="8"/>
  <c r="FD9" i="8" s="1"/>
  <c r="FD7" i="8" s="1"/>
  <c r="FE8" i="8"/>
  <c r="FE9" i="8" s="1"/>
  <c r="FE7" i="8" s="1"/>
  <c r="FF8" i="8"/>
  <c r="FF9" i="8" s="1"/>
  <c r="FF7" i="8" s="1"/>
  <c r="FG8" i="8"/>
  <c r="FG9" i="8" s="1"/>
  <c r="FG7" i="8" s="1"/>
  <c r="FH8" i="8"/>
  <c r="FH9" i="8" s="1"/>
  <c r="FH7" i="8" s="1"/>
  <c r="FI8" i="8"/>
  <c r="FI9" i="8" s="1"/>
  <c r="FI7" i="8" s="1"/>
  <c r="FJ8" i="8"/>
  <c r="FJ9" i="8" s="1"/>
  <c r="FJ7" i="8" s="1"/>
  <c r="FK8" i="8"/>
  <c r="FK9" i="8" s="1"/>
  <c r="FK7" i="8" s="1"/>
  <c r="FL8" i="8"/>
  <c r="FL9" i="8" s="1"/>
  <c r="FL7" i="8" s="1"/>
  <c r="FM8" i="8"/>
  <c r="FM9" i="8" s="1"/>
  <c r="FM7" i="8" s="1"/>
  <c r="FN8" i="8"/>
  <c r="FN9" i="8" s="1"/>
  <c r="FN7" i="8" s="1"/>
  <c r="FO8" i="8"/>
  <c r="FO9" i="8" s="1"/>
  <c r="FO7" i="8" s="1"/>
  <c r="FP8" i="8"/>
  <c r="FP9" i="8" s="1"/>
  <c r="FP7" i="8" s="1"/>
  <c r="FQ8" i="8"/>
  <c r="FQ9" i="8" s="1"/>
  <c r="FQ7" i="8" s="1"/>
  <c r="FR8" i="8"/>
  <c r="FR9" i="8" s="1"/>
  <c r="FR7" i="8" s="1"/>
  <c r="FS8" i="8"/>
  <c r="FS9" i="8" s="1"/>
  <c r="FS7" i="8" s="1"/>
  <c r="FT8" i="8"/>
  <c r="FT9" i="8" s="1"/>
  <c r="FT7" i="8" s="1"/>
  <c r="FU8" i="8"/>
  <c r="FU9" i="8" s="1"/>
  <c r="FU7" i="8" s="1"/>
  <c r="FV8" i="8"/>
  <c r="FV9" i="8" s="1"/>
  <c r="FV7" i="8" s="1"/>
  <c r="FW8" i="8"/>
  <c r="FW9" i="8" s="1"/>
  <c r="FW7" i="8" s="1"/>
  <c r="FX8" i="8"/>
  <c r="FX9" i="8" s="1"/>
  <c r="FX7" i="8" s="1"/>
  <c r="FY8" i="8"/>
  <c r="FY9" i="8" s="1"/>
  <c r="FY7" i="8" s="1"/>
  <c r="FZ8" i="8"/>
  <c r="FZ9" i="8" s="1"/>
  <c r="FZ7" i="8" s="1"/>
  <c r="GA8" i="8"/>
  <c r="GA9" i="8" s="1"/>
  <c r="GA7" i="8" s="1"/>
  <c r="GB8" i="8"/>
  <c r="GB9" i="8" s="1"/>
  <c r="GB7" i="8" s="1"/>
  <c r="GC8" i="8"/>
  <c r="GC9" i="8" s="1"/>
  <c r="GC7" i="8" s="1"/>
  <c r="GD8" i="8"/>
  <c r="GD9" i="8" s="1"/>
  <c r="GD7" i="8" s="1"/>
  <c r="GE8" i="8"/>
  <c r="GE9" i="8" s="1"/>
  <c r="GE7" i="8" s="1"/>
  <c r="GF8" i="8"/>
  <c r="GF9" i="8" s="1"/>
  <c r="GF7" i="8" s="1"/>
  <c r="GG8" i="8"/>
  <c r="GG9" i="8" s="1"/>
  <c r="GG7" i="8" s="1"/>
  <c r="GH8" i="8"/>
  <c r="GH9" i="8" s="1"/>
  <c r="GH7" i="8" s="1"/>
  <c r="GI8" i="8"/>
  <c r="GI9" i="8" s="1"/>
  <c r="GI7" i="8" s="1"/>
  <c r="GJ8" i="8"/>
  <c r="GJ9" i="8" s="1"/>
  <c r="GJ7" i="8" s="1"/>
  <c r="GK8" i="8"/>
  <c r="GK9" i="8" s="1"/>
  <c r="GK7" i="8" s="1"/>
  <c r="GL8" i="8"/>
  <c r="GL9" i="8" s="1"/>
  <c r="GL7" i="8" s="1"/>
  <c r="GM8" i="8"/>
  <c r="GM9" i="8" s="1"/>
  <c r="GM7" i="8" s="1"/>
  <c r="GN8" i="8"/>
  <c r="GN9" i="8" s="1"/>
  <c r="GN7" i="8" s="1"/>
  <c r="GO8" i="8"/>
  <c r="GO9" i="8" s="1"/>
  <c r="GO7" i="8" s="1"/>
  <c r="GP8" i="8"/>
  <c r="GP9" i="8" s="1"/>
  <c r="GP7" i="8" s="1"/>
  <c r="GQ8" i="8"/>
  <c r="GQ9" i="8" s="1"/>
  <c r="GQ7" i="8" s="1"/>
  <c r="GR8" i="8"/>
  <c r="GR9" i="8" s="1"/>
  <c r="GR7" i="8" s="1"/>
  <c r="GS8" i="8"/>
  <c r="GS9" i="8" s="1"/>
  <c r="GS7" i="8" s="1"/>
  <c r="GT8" i="8"/>
  <c r="GT9" i="8" s="1"/>
  <c r="GT7" i="8" s="1"/>
  <c r="GU8" i="8"/>
  <c r="GU9" i="8" s="1"/>
  <c r="GU7" i="8" s="1"/>
  <c r="GV8" i="8"/>
  <c r="GV9" i="8" s="1"/>
  <c r="GV7" i="8" s="1"/>
  <c r="GW8" i="8"/>
  <c r="GW9" i="8" s="1"/>
  <c r="GW7" i="8" s="1"/>
  <c r="GX8" i="8"/>
  <c r="GX9" i="8" s="1"/>
  <c r="GX7" i="8" s="1"/>
  <c r="GY8" i="8"/>
  <c r="GY9" i="8" s="1"/>
  <c r="GY7" i="8" s="1"/>
  <c r="GZ8" i="8"/>
  <c r="GZ9" i="8" s="1"/>
  <c r="GZ7" i="8" s="1"/>
  <c r="HA8" i="8"/>
  <c r="HA9" i="8" s="1"/>
  <c r="HA7" i="8" s="1"/>
  <c r="HB8" i="8"/>
  <c r="HB9" i="8" s="1"/>
  <c r="HB7" i="8" s="1"/>
  <c r="HC8" i="8"/>
  <c r="HC9" i="8" s="1"/>
  <c r="HC7" i="8" s="1"/>
  <c r="HD8" i="8"/>
  <c r="HD9" i="8" s="1"/>
  <c r="HD7" i="8" s="1"/>
  <c r="HE8" i="8"/>
  <c r="HE9" i="8" s="1"/>
  <c r="HE7" i="8" s="1"/>
  <c r="HF8" i="8"/>
  <c r="HF9" i="8" s="1"/>
  <c r="HF7" i="8" s="1"/>
  <c r="HG8" i="8"/>
  <c r="HG9" i="8" s="1"/>
  <c r="HG7" i="8" s="1"/>
  <c r="HH8" i="8"/>
  <c r="HH9" i="8" s="1"/>
  <c r="HH7" i="8" s="1"/>
  <c r="HI8" i="8"/>
  <c r="HI9" i="8" s="1"/>
  <c r="HI7" i="8" s="1"/>
  <c r="HJ8" i="8"/>
  <c r="HJ9" i="8" s="1"/>
  <c r="HJ7" i="8" s="1"/>
  <c r="HK8" i="8"/>
  <c r="HK9" i="8" s="1"/>
  <c r="HK7" i="8" s="1"/>
  <c r="HL8" i="8"/>
  <c r="HL9" i="8" s="1"/>
  <c r="HL7" i="8" s="1"/>
  <c r="HM8" i="8"/>
  <c r="HM9" i="8" s="1"/>
  <c r="HM7" i="8" s="1"/>
  <c r="HN8" i="8"/>
  <c r="HN9" i="8" s="1"/>
  <c r="HN7" i="8" s="1"/>
  <c r="HO8" i="8"/>
  <c r="HO9" i="8" s="1"/>
  <c r="HO7" i="8" s="1"/>
  <c r="HP8" i="8"/>
  <c r="HP9" i="8" s="1"/>
  <c r="HP7" i="8" s="1"/>
  <c r="HQ8" i="8"/>
  <c r="HQ9" i="8" s="1"/>
  <c r="HQ7" i="8" s="1"/>
  <c r="HR8" i="8"/>
  <c r="HR9" i="8" s="1"/>
  <c r="HR7" i="8" s="1"/>
  <c r="HS8" i="8"/>
  <c r="HS9" i="8" s="1"/>
  <c r="HS7" i="8" s="1"/>
  <c r="HT8" i="8"/>
  <c r="HT9" i="8" s="1"/>
  <c r="HT7" i="8" s="1"/>
  <c r="HU8" i="8"/>
  <c r="HU9" i="8" s="1"/>
  <c r="HU7" i="8" s="1"/>
  <c r="HV8" i="8"/>
  <c r="HV9" i="8" s="1"/>
  <c r="HV7" i="8" s="1"/>
  <c r="HW8" i="8"/>
  <c r="HW9" i="8" s="1"/>
  <c r="HW7" i="8" s="1"/>
  <c r="HX8" i="8"/>
  <c r="HX9" i="8" s="1"/>
  <c r="HX7" i="8" s="1"/>
  <c r="HY8" i="8"/>
  <c r="HY9" i="8" s="1"/>
  <c r="HY7" i="8" s="1"/>
  <c r="HZ8" i="8"/>
  <c r="HZ9" i="8" s="1"/>
  <c r="HZ7" i="8" s="1"/>
  <c r="IA8" i="8"/>
  <c r="IA9" i="8" s="1"/>
  <c r="IA7" i="8" s="1"/>
  <c r="IB8" i="8"/>
  <c r="IB9" i="8" s="1"/>
  <c r="IB7" i="8" s="1"/>
  <c r="IC8" i="8"/>
  <c r="IC9" i="8" s="1"/>
  <c r="IC7" i="8" s="1"/>
  <c r="ID8" i="8"/>
  <c r="ID9" i="8" s="1"/>
  <c r="ID7" i="8" s="1"/>
  <c r="IE8" i="8"/>
  <c r="IE9" i="8" s="1"/>
  <c r="IE7" i="8" s="1"/>
  <c r="IF8" i="8"/>
  <c r="IF9" i="8" s="1"/>
  <c r="IF7" i="8" s="1"/>
  <c r="IG8" i="8"/>
  <c r="IG9" i="8" s="1"/>
  <c r="IG7" i="8" s="1"/>
  <c r="IH8" i="8"/>
  <c r="IH9" i="8" s="1"/>
  <c r="IH7" i="8" s="1"/>
  <c r="II8" i="8"/>
  <c r="II9" i="8" s="1"/>
  <c r="II7" i="8" s="1"/>
  <c r="IJ8" i="8"/>
  <c r="IJ9" i="8" s="1"/>
  <c r="IJ7" i="8" s="1"/>
  <c r="IK8" i="8"/>
  <c r="IK9" i="8" s="1"/>
  <c r="IK7" i="8" s="1"/>
  <c r="IL8" i="8"/>
  <c r="IL9" i="8" s="1"/>
  <c r="IL7" i="8" s="1"/>
  <c r="IM8" i="8"/>
  <c r="IM9" i="8" s="1"/>
  <c r="IM7" i="8" s="1"/>
  <c r="IN8" i="8"/>
  <c r="IN9" i="8" s="1"/>
  <c r="IN7" i="8" s="1"/>
  <c r="IO8" i="8"/>
  <c r="IO9" i="8" s="1"/>
  <c r="IO7" i="8" s="1"/>
  <c r="IP8" i="8"/>
  <c r="IP9" i="8" s="1"/>
  <c r="IP7" i="8" s="1"/>
  <c r="IQ8" i="8"/>
  <c r="IQ9" i="8" s="1"/>
  <c r="IQ7" i="8" s="1"/>
  <c r="IR8" i="8"/>
  <c r="IR9" i="8" s="1"/>
  <c r="IR7" i="8" s="1"/>
  <c r="IS8" i="8"/>
  <c r="IS9" i="8" s="1"/>
  <c r="IS7" i="8" s="1"/>
  <c r="IT8" i="8"/>
  <c r="IT9" i="8" s="1"/>
  <c r="IT7" i="8" s="1"/>
  <c r="IU8" i="8"/>
  <c r="IU9" i="8" s="1"/>
  <c r="IU7" i="8" s="1"/>
  <c r="IV8" i="8"/>
  <c r="IV9" i="8" s="1"/>
  <c r="IV7" i="8" s="1"/>
  <c r="IW8" i="8"/>
  <c r="IW9" i="8" s="1"/>
  <c r="IW7" i="8" s="1"/>
  <c r="IX8" i="8"/>
  <c r="IX9" i="8" s="1"/>
  <c r="IX7" i="8" s="1"/>
  <c r="IY8" i="8"/>
  <c r="IY9" i="8" s="1"/>
  <c r="IY7" i="8" s="1"/>
  <c r="IZ8" i="8"/>
  <c r="IZ9" i="8" s="1"/>
  <c r="IZ7" i="8" s="1"/>
  <c r="JA8" i="8"/>
  <c r="JA9" i="8" s="1"/>
  <c r="JA7" i="8" s="1"/>
  <c r="JB8" i="8"/>
  <c r="JB9" i="8" s="1"/>
  <c r="JB7" i="8" s="1"/>
  <c r="JC8" i="8"/>
  <c r="JC9" i="8" s="1"/>
  <c r="JC7" i="8" s="1"/>
  <c r="JD8" i="8"/>
  <c r="JD9" i="8" s="1"/>
  <c r="JD7" i="8" s="1"/>
  <c r="JE8" i="8"/>
  <c r="JE9" i="8" s="1"/>
  <c r="JE7" i="8" s="1"/>
  <c r="JF8" i="8"/>
  <c r="JF9" i="8" s="1"/>
  <c r="JF7" i="8" s="1"/>
  <c r="JG8" i="8"/>
  <c r="JG9" i="8" s="1"/>
  <c r="JG7" i="8" s="1"/>
  <c r="JH8" i="8"/>
  <c r="JH9" i="8" s="1"/>
  <c r="JH7" i="8" s="1"/>
  <c r="JI8" i="8"/>
  <c r="JI9" i="8" s="1"/>
  <c r="JI7" i="8" s="1"/>
  <c r="JJ8" i="8"/>
  <c r="JJ9" i="8" s="1"/>
  <c r="JJ7" i="8" s="1"/>
  <c r="JK8" i="8"/>
  <c r="JK9" i="8" s="1"/>
  <c r="JK7" i="8" s="1"/>
  <c r="JL8" i="8"/>
  <c r="JL9" i="8" s="1"/>
  <c r="JL7" i="8" s="1"/>
  <c r="JM8" i="8"/>
  <c r="JM9" i="8" s="1"/>
  <c r="JM7" i="8" s="1"/>
  <c r="JN8" i="8"/>
  <c r="JN9" i="8" s="1"/>
  <c r="JN7" i="8" s="1"/>
  <c r="JO8" i="8"/>
  <c r="JO9" i="8" s="1"/>
  <c r="JO7" i="8" s="1"/>
  <c r="JP8" i="8"/>
  <c r="JP9" i="8" s="1"/>
  <c r="JP7" i="8" s="1"/>
  <c r="JQ8" i="8"/>
  <c r="JQ9" i="8" s="1"/>
  <c r="JQ7" i="8" s="1"/>
  <c r="JR8" i="8"/>
  <c r="JR9" i="8" s="1"/>
  <c r="JR7" i="8" s="1"/>
  <c r="JS8" i="8"/>
  <c r="JS9" i="8" s="1"/>
  <c r="JS7" i="8" s="1"/>
  <c r="JT8" i="8"/>
  <c r="JT9" i="8" s="1"/>
  <c r="JT7" i="8" s="1"/>
  <c r="JU8" i="8"/>
  <c r="JU9" i="8" s="1"/>
  <c r="JU7" i="8" s="1"/>
  <c r="JV8" i="8"/>
  <c r="JV9" i="8" s="1"/>
  <c r="JV7" i="8" s="1"/>
  <c r="JW8" i="8"/>
  <c r="JW9" i="8" s="1"/>
  <c r="JW7" i="8" s="1"/>
  <c r="JX8" i="8"/>
  <c r="JX9" i="8" s="1"/>
  <c r="JX7" i="8" s="1"/>
  <c r="JY8" i="8"/>
  <c r="JY9" i="8" s="1"/>
  <c r="JY7" i="8" s="1"/>
  <c r="JZ8" i="8"/>
  <c r="JZ9" i="8" s="1"/>
  <c r="JZ7" i="8" s="1"/>
  <c r="KA8" i="8"/>
  <c r="KA9" i="8" s="1"/>
  <c r="KA7" i="8" s="1"/>
  <c r="KB8" i="8"/>
  <c r="KB9" i="8" s="1"/>
  <c r="KB7" i="8" s="1"/>
  <c r="KC8" i="8"/>
  <c r="KC9" i="8" s="1"/>
  <c r="KC7" i="8" s="1"/>
  <c r="KD8" i="8"/>
  <c r="KD9" i="8" s="1"/>
  <c r="KD7" i="8" s="1"/>
  <c r="KE8" i="8"/>
  <c r="KE9" i="8" s="1"/>
  <c r="KE7" i="8" s="1"/>
  <c r="KF8" i="8"/>
  <c r="KF9" i="8" s="1"/>
  <c r="KF7" i="8" s="1"/>
  <c r="KG8" i="8"/>
  <c r="KG9" i="8" s="1"/>
  <c r="KG7" i="8" s="1"/>
  <c r="KH8" i="8"/>
  <c r="KH9" i="8" s="1"/>
  <c r="KH7" i="8" s="1"/>
  <c r="KI8" i="8"/>
  <c r="KI9" i="8" s="1"/>
  <c r="KI7" i="8" s="1"/>
  <c r="KJ8" i="8"/>
  <c r="KJ9" i="8" s="1"/>
  <c r="KJ7" i="8" s="1"/>
  <c r="KK8" i="8"/>
  <c r="KK9" i="8" s="1"/>
  <c r="KK7" i="8" s="1"/>
  <c r="KL8" i="8"/>
  <c r="KL9" i="8" s="1"/>
  <c r="KL7" i="8" s="1"/>
  <c r="KM8" i="8"/>
  <c r="KM9" i="8" s="1"/>
  <c r="KM7" i="8" s="1"/>
  <c r="KN8" i="8"/>
  <c r="KN9" i="8" s="1"/>
  <c r="KN7" i="8" s="1"/>
  <c r="KO8" i="8"/>
  <c r="KO9" i="8" s="1"/>
  <c r="KO7" i="8" s="1"/>
  <c r="KP8" i="8"/>
  <c r="KP9" i="8" s="1"/>
  <c r="KP7" i="8" s="1"/>
  <c r="KQ8" i="8"/>
  <c r="KQ9" i="8" s="1"/>
  <c r="KQ7" i="8" s="1"/>
  <c r="KR8" i="8"/>
  <c r="KR9" i="8" s="1"/>
  <c r="KR7" i="8" s="1"/>
  <c r="KS8" i="8"/>
  <c r="KS9" i="8" s="1"/>
  <c r="KS7" i="8" s="1"/>
  <c r="KT8" i="8"/>
  <c r="KT9" i="8" s="1"/>
  <c r="KT7" i="8" s="1"/>
  <c r="KU8" i="8"/>
  <c r="KU9" i="8" s="1"/>
  <c r="KU7" i="8" s="1"/>
  <c r="KV8" i="8"/>
  <c r="KV9" i="8" s="1"/>
  <c r="KV7" i="8" s="1"/>
  <c r="KW8" i="8"/>
  <c r="KW9" i="8" s="1"/>
  <c r="KW7" i="8" s="1"/>
  <c r="KX8" i="8"/>
  <c r="KX9" i="8" s="1"/>
  <c r="KX7" i="8" s="1"/>
  <c r="KY8" i="8"/>
  <c r="KY9" i="8" s="1"/>
  <c r="KY7" i="8" s="1"/>
  <c r="KZ8" i="8"/>
  <c r="KZ9" i="8" s="1"/>
  <c r="KZ7" i="8" s="1"/>
  <c r="LA8" i="8"/>
  <c r="LA9" i="8" s="1"/>
  <c r="LA7" i="8" s="1"/>
  <c r="LB8" i="8"/>
  <c r="LB9" i="8" s="1"/>
  <c r="LB7" i="8" s="1"/>
  <c r="LC8" i="8"/>
  <c r="LC9" i="8" s="1"/>
  <c r="LC7" i="8" s="1"/>
  <c r="LD8" i="8"/>
  <c r="LD9" i="8" s="1"/>
  <c r="LD7" i="8" s="1"/>
  <c r="LE8" i="8"/>
  <c r="LE9" i="8" s="1"/>
  <c r="LE7" i="8" s="1"/>
  <c r="LF8" i="8"/>
  <c r="LF9" i="8" s="1"/>
  <c r="LF7" i="8" s="1"/>
  <c r="LG8" i="8"/>
  <c r="LG9" i="8" s="1"/>
  <c r="LG7" i="8" s="1"/>
  <c r="LH8" i="8"/>
  <c r="LH9" i="8" s="1"/>
  <c r="LH7" i="8" s="1"/>
  <c r="LI8" i="8"/>
  <c r="LI9" i="8" s="1"/>
  <c r="LI7" i="8" s="1"/>
  <c r="LJ8" i="8"/>
  <c r="LJ9" i="8" s="1"/>
  <c r="LJ7" i="8" s="1"/>
  <c r="LK8" i="8"/>
  <c r="LK9" i="8" s="1"/>
  <c r="LK7" i="8" s="1"/>
  <c r="LL8" i="8"/>
  <c r="LL9" i="8" s="1"/>
  <c r="LL7" i="8" s="1"/>
  <c r="LM8" i="8"/>
  <c r="LM9" i="8" s="1"/>
  <c r="LM7" i="8" s="1"/>
  <c r="LN8" i="8"/>
  <c r="LN9" i="8" s="1"/>
  <c r="LN7" i="8" s="1"/>
  <c r="LO8" i="8"/>
  <c r="LO9" i="8" s="1"/>
  <c r="LO7" i="8" s="1"/>
  <c r="LP8" i="8"/>
  <c r="LP9" i="8" s="1"/>
  <c r="LP7" i="8" s="1"/>
  <c r="LQ8" i="8"/>
  <c r="LQ9" i="8" s="1"/>
  <c r="LQ7" i="8" s="1"/>
  <c r="LR8" i="8"/>
  <c r="LR9" i="8" s="1"/>
  <c r="LR7" i="8" s="1"/>
  <c r="LS8" i="8"/>
  <c r="LS9" i="8" s="1"/>
  <c r="LS7" i="8" s="1"/>
  <c r="LT8" i="8"/>
  <c r="LT9" i="8" s="1"/>
  <c r="LT7" i="8" s="1"/>
  <c r="LU8" i="8"/>
  <c r="LU9" i="8" s="1"/>
  <c r="LU7" i="8" s="1"/>
  <c r="LV8" i="8"/>
  <c r="LV9" i="8" s="1"/>
  <c r="LV7" i="8" s="1"/>
  <c r="LW8" i="8"/>
  <c r="LW9" i="8" s="1"/>
  <c r="LW7" i="8" s="1"/>
  <c r="LX8" i="8"/>
  <c r="LX9" i="8" s="1"/>
  <c r="LX7" i="8" s="1"/>
  <c r="LY8" i="8"/>
  <c r="LY9" i="8" s="1"/>
  <c r="LY7" i="8" s="1"/>
  <c r="LZ8" i="8"/>
  <c r="LZ9" i="8" s="1"/>
  <c r="LZ7" i="8" s="1"/>
  <c r="MA8" i="8"/>
  <c r="MA9" i="8" s="1"/>
  <c r="MA7" i="8" s="1"/>
  <c r="MB8" i="8"/>
  <c r="MB9" i="8" s="1"/>
  <c r="MB7" i="8" s="1"/>
  <c r="MC8" i="8"/>
  <c r="MC9" i="8" s="1"/>
  <c r="MC7" i="8" s="1"/>
  <c r="MD8" i="8"/>
  <c r="MD9" i="8" s="1"/>
  <c r="MD7" i="8" s="1"/>
  <c r="ME8" i="8"/>
  <c r="ME9" i="8" s="1"/>
  <c r="ME7" i="8" s="1"/>
  <c r="MF8" i="8"/>
  <c r="MF9" i="8" s="1"/>
  <c r="MF7" i="8" s="1"/>
  <c r="MG8" i="8"/>
  <c r="MG9" i="8" s="1"/>
  <c r="MG7" i="8" s="1"/>
  <c r="MH8" i="8"/>
  <c r="MH9" i="8" s="1"/>
  <c r="MH7" i="8" s="1"/>
  <c r="MI8" i="8"/>
  <c r="MI9" i="8" s="1"/>
  <c r="MI7" i="8" s="1"/>
  <c r="MJ8" i="8"/>
  <c r="MJ9" i="8" s="1"/>
  <c r="MJ7" i="8" s="1"/>
  <c r="MK8" i="8"/>
  <c r="MK9" i="8" s="1"/>
  <c r="MK7" i="8" s="1"/>
  <c r="ML8" i="8"/>
  <c r="ML9" i="8" s="1"/>
  <c r="ML7" i="8" s="1"/>
  <c r="MM8" i="8"/>
  <c r="MM9" i="8" s="1"/>
  <c r="MM7" i="8" s="1"/>
  <c r="MN8" i="8"/>
  <c r="MN9" i="8" s="1"/>
  <c r="MN7" i="8" s="1"/>
  <c r="MO8" i="8"/>
  <c r="MO9" i="8" s="1"/>
  <c r="MO7" i="8" s="1"/>
  <c r="MP8" i="8"/>
  <c r="MP9" i="8" s="1"/>
  <c r="MP7" i="8" s="1"/>
  <c r="MQ8" i="8"/>
  <c r="MQ9" i="8" s="1"/>
  <c r="MQ7" i="8" s="1"/>
  <c r="MR8" i="8"/>
  <c r="MR9" i="8" s="1"/>
  <c r="MR7" i="8" s="1"/>
  <c r="MS8" i="8"/>
  <c r="MS9" i="8" s="1"/>
  <c r="MS7" i="8" s="1"/>
  <c r="MT8" i="8"/>
  <c r="MT9" i="8" s="1"/>
  <c r="MT7" i="8" s="1"/>
  <c r="MU8" i="8"/>
  <c r="MU9" i="8" s="1"/>
  <c r="MU7" i="8" s="1"/>
  <c r="MV8" i="8"/>
  <c r="MV9" i="8" s="1"/>
  <c r="MV7" i="8" s="1"/>
  <c r="MW8" i="8"/>
  <c r="MW9" i="8" s="1"/>
  <c r="MW7" i="8" s="1"/>
  <c r="MX8" i="8"/>
  <c r="MX9" i="8" s="1"/>
  <c r="MX7" i="8" s="1"/>
  <c r="MY8" i="8"/>
  <c r="MY9" i="8" s="1"/>
  <c r="MY7" i="8" s="1"/>
  <c r="MZ8" i="8"/>
  <c r="MZ9" i="8" s="1"/>
  <c r="MZ7" i="8" s="1"/>
  <c r="NA8" i="8"/>
  <c r="NA9" i="8" s="1"/>
  <c r="NA7" i="8" s="1"/>
  <c r="NB8" i="8"/>
  <c r="NB9" i="8" s="1"/>
  <c r="NB7" i="8" s="1"/>
  <c r="NC8" i="8"/>
  <c r="NC9" i="8" s="1"/>
  <c r="NC7" i="8" s="1"/>
  <c r="ND8" i="8"/>
  <c r="ND9" i="8" s="1"/>
  <c r="ND7" i="8" s="1"/>
  <c r="NE8" i="8"/>
  <c r="NE9" i="8" s="1"/>
  <c r="NE7" i="8" s="1"/>
  <c r="NF8" i="8"/>
  <c r="NF9" i="8" s="1"/>
  <c r="NF7" i="8" s="1"/>
  <c r="NG8" i="8"/>
  <c r="NG9" i="8" s="1"/>
  <c r="NG7" i="8" s="1"/>
  <c r="NH8" i="8"/>
  <c r="NH9" i="8" s="1"/>
  <c r="NH7" i="8" s="1"/>
  <c r="NI8" i="8"/>
  <c r="NI9" i="8" s="1"/>
  <c r="NI7" i="8" s="1"/>
  <c r="B8" i="8"/>
  <c r="B9" i="8" s="1"/>
  <c r="B7" i="8" s="1"/>
  <c r="Z6" i="8"/>
  <c r="C6" i="8"/>
  <c r="D6" i="8"/>
  <c r="E6" i="8"/>
  <c r="F6" i="8"/>
  <c r="G6" i="8"/>
  <c r="H6" i="8"/>
  <c r="I6" i="8"/>
  <c r="J6" i="8"/>
  <c r="K6" i="8"/>
  <c r="L6" i="8"/>
  <c r="M6" i="8"/>
  <c r="N6" i="8"/>
  <c r="O6" i="8"/>
  <c r="P6" i="8"/>
  <c r="Q6" i="8"/>
  <c r="R6" i="8"/>
  <c r="S6" i="8"/>
  <c r="T6" i="8"/>
  <c r="U6" i="8"/>
  <c r="V6" i="8"/>
  <c r="W6" i="8"/>
  <c r="X6" i="8"/>
  <c r="Y6" i="8"/>
  <c r="AA6" i="8"/>
  <c r="AB6" i="8"/>
  <c r="AC6" i="8"/>
  <c r="AD6" i="8"/>
  <c r="AE6" i="8"/>
  <c r="AF6" i="8"/>
  <c r="NI6" i="8"/>
  <c r="NH6" i="8"/>
  <c r="NG6" i="8"/>
  <c r="NF6" i="8"/>
  <c r="NE6" i="8"/>
  <c r="ND6" i="8"/>
  <c r="NC6" i="8"/>
  <c r="NB6" i="8"/>
  <c r="NA6" i="8"/>
  <c r="MZ6" i="8"/>
  <c r="MY6" i="8"/>
  <c r="MX6" i="8"/>
  <c r="MW6" i="8"/>
  <c r="MV6" i="8"/>
  <c r="MU6" i="8"/>
  <c r="MT6" i="8"/>
  <c r="MS6" i="8"/>
  <c r="MR6" i="8"/>
  <c r="MQ6" i="8"/>
  <c r="MP6" i="8"/>
  <c r="MO6" i="8"/>
  <c r="MN6" i="8"/>
  <c r="MM6" i="8"/>
  <c r="ML6" i="8"/>
  <c r="MK6" i="8"/>
  <c r="MJ6" i="8"/>
  <c r="MI6" i="8"/>
  <c r="MH6" i="8"/>
  <c r="MG6" i="8"/>
  <c r="MF6" i="8"/>
  <c r="ME6" i="8"/>
  <c r="MD6" i="8"/>
  <c r="MC6" i="8"/>
  <c r="MB6" i="8"/>
  <c r="MA6" i="8"/>
  <c r="LZ6" i="8"/>
  <c r="LY6" i="8"/>
  <c r="LX6" i="8"/>
  <c r="LW6" i="8"/>
  <c r="LV6" i="8"/>
  <c r="LU6" i="8"/>
  <c r="LT6" i="8"/>
  <c r="LS6" i="8"/>
  <c r="LR6" i="8"/>
  <c r="LQ6" i="8"/>
  <c r="LP6" i="8"/>
  <c r="LO6" i="8"/>
  <c r="LN6" i="8"/>
  <c r="LM6" i="8"/>
  <c r="LL6" i="8"/>
  <c r="LK6" i="8"/>
  <c r="LJ6" i="8"/>
  <c r="LI6" i="8"/>
  <c r="LH6" i="8"/>
  <c r="LG6" i="8"/>
  <c r="LF6" i="8"/>
  <c r="LE6" i="8"/>
  <c r="LD6" i="8"/>
  <c r="LC6" i="8"/>
  <c r="LB6" i="8"/>
  <c r="LA6" i="8"/>
  <c r="KZ6" i="8"/>
  <c r="KY6" i="8"/>
  <c r="KX6" i="8"/>
  <c r="KW6" i="8"/>
  <c r="KV6" i="8"/>
  <c r="KU6" i="8"/>
  <c r="KT6" i="8"/>
  <c r="KS6" i="8"/>
  <c r="KR6" i="8"/>
  <c r="KQ6" i="8"/>
  <c r="KP6" i="8"/>
  <c r="KO6" i="8"/>
  <c r="KN6" i="8"/>
  <c r="KM6" i="8"/>
  <c r="KL6" i="8"/>
  <c r="KK6" i="8"/>
  <c r="KJ6" i="8"/>
  <c r="KI6" i="8"/>
  <c r="KH6" i="8"/>
  <c r="KG6" i="8"/>
  <c r="KF6" i="8"/>
  <c r="KE6" i="8"/>
  <c r="KD6" i="8"/>
  <c r="KC6" i="8"/>
  <c r="KB6" i="8"/>
  <c r="KA6" i="8"/>
  <c r="JZ6" i="8"/>
  <c r="JY6" i="8"/>
  <c r="JX6" i="8"/>
  <c r="JW6" i="8"/>
  <c r="JV6" i="8"/>
  <c r="JU6" i="8"/>
  <c r="JT6" i="8"/>
  <c r="JS6" i="8"/>
  <c r="JR6" i="8"/>
  <c r="JQ6" i="8"/>
  <c r="JP6" i="8"/>
  <c r="JO6" i="8"/>
  <c r="JN6" i="8"/>
  <c r="JM6" i="8"/>
  <c r="JL6" i="8"/>
  <c r="JK6" i="8"/>
  <c r="JJ6" i="8"/>
  <c r="JI6" i="8"/>
  <c r="JH6" i="8"/>
  <c r="JG6" i="8"/>
  <c r="JF6" i="8"/>
  <c r="JE6" i="8"/>
  <c r="JD6" i="8"/>
  <c r="JC6" i="8"/>
  <c r="JB6" i="8"/>
  <c r="JA6" i="8"/>
  <c r="IZ6" i="8"/>
  <c r="IY6" i="8"/>
  <c r="IX6" i="8"/>
  <c r="IW6" i="8"/>
  <c r="IV6" i="8"/>
  <c r="IU6" i="8"/>
  <c r="IT6" i="8"/>
  <c r="IS6" i="8"/>
  <c r="IR6" i="8"/>
  <c r="IQ6" i="8"/>
  <c r="IP6" i="8"/>
  <c r="IO6" i="8"/>
  <c r="IN6" i="8"/>
  <c r="IM6" i="8"/>
  <c r="IL6" i="8"/>
  <c r="IK6" i="8"/>
  <c r="IJ6" i="8"/>
  <c r="II6" i="8"/>
  <c r="IH6" i="8"/>
  <c r="IG6" i="8"/>
  <c r="IF6" i="8"/>
  <c r="IE6" i="8"/>
  <c r="ID6" i="8"/>
  <c r="IC6" i="8"/>
  <c r="IB6" i="8"/>
  <c r="IA6" i="8"/>
  <c r="HZ6" i="8"/>
  <c r="HY6" i="8"/>
  <c r="HX6" i="8"/>
  <c r="HW6" i="8"/>
  <c r="HV6" i="8"/>
  <c r="HU6" i="8"/>
  <c r="HT6" i="8"/>
  <c r="HS6" i="8"/>
  <c r="HR6" i="8"/>
  <c r="HQ6" i="8"/>
  <c r="HP6" i="8"/>
  <c r="HO6" i="8"/>
  <c r="HN6" i="8"/>
  <c r="HM6" i="8"/>
  <c r="HL6" i="8"/>
  <c r="HK6" i="8"/>
  <c r="HJ6" i="8"/>
  <c r="HI6" i="8"/>
  <c r="HH6" i="8"/>
  <c r="HG6" i="8"/>
  <c r="HF6" i="8"/>
  <c r="HE6" i="8"/>
  <c r="HD6" i="8"/>
  <c r="HC6" i="8"/>
  <c r="HB6" i="8"/>
  <c r="HA6" i="8"/>
  <c r="GZ6" i="8"/>
  <c r="GY6" i="8"/>
  <c r="GX6" i="8"/>
  <c r="GW6" i="8"/>
  <c r="GV6" i="8"/>
  <c r="GU6" i="8"/>
  <c r="GT6" i="8"/>
  <c r="GS6" i="8"/>
  <c r="GR6" i="8"/>
  <c r="GQ6" i="8"/>
  <c r="GP6" i="8"/>
  <c r="GO6" i="8"/>
  <c r="GN6" i="8"/>
  <c r="GM6" i="8"/>
  <c r="GL6" i="8"/>
  <c r="GK6" i="8"/>
  <c r="GJ6" i="8"/>
  <c r="GI6" i="8"/>
  <c r="GH6" i="8"/>
  <c r="GG6" i="8"/>
  <c r="GF6" i="8"/>
  <c r="GE6" i="8"/>
  <c r="GD6" i="8"/>
  <c r="GC6" i="8"/>
  <c r="GB6" i="8"/>
  <c r="GA6" i="8"/>
  <c r="FZ6" i="8"/>
  <c r="FY6" i="8"/>
  <c r="FX6" i="8"/>
  <c r="FW6" i="8"/>
  <c r="FV6" i="8"/>
  <c r="FU6" i="8"/>
  <c r="FT6" i="8"/>
  <c r="FS6" i="8"/>
  <c r="FR6" i="8"/>
  <c r="FQ6" i="8"/>
  <c r="FP6" i="8"/>
  <c r="FO6" i="8"/>
  <c r="FN6" i="8"/>
  <c r="FM6" i="8"/>
  <c r="FL6" i="8"/>
  <c r="FK6" i="8"/>
  <c r="FJ6" i="8"/>
  <c r="FI6" i="8"/>
  <c r="FH6" i="8"/>
  <c r="FG6" i="8"/>
  <c r="FF6" i="8"/>
  <c r="FE6" i="8"/>
  <c r="FD6" i="8"/>
  <c r="FC6" i="8"/>
  <c r="FB6" i="8"/>
  <c r="FA6" i="8"/>
  <c r="EZ6" i="8"/>
  <c r="EY6" i="8"/>
  <c r="EX6" i="8"/>
  <c r="EW6" i="8"/>
  <c r="EV6" i="8"/>
  <c r="EU6" i="8"/>
  <c r="ET6" i="8"/>
  <c r="ES6" i="8"/>
  <c r="ER6" i="8"/>
  <c r="EQ6" i="8"/>
  <c r="EP6" i="8"/>
  <c r="EO6" i="8"/>
  <c r="EN6" i="8"/>
  <c r="EM6" i="8"/>
  <c r="EL6" i="8"/>
  <c r="EK6" i="8"/>
  <c r="EJ6" i="8"/>
  <c r="EI6" i="8"/>
  <c r="EH6" i="8"/>
  <c r="EG6" i="8"/>
  <c r="EF6" i="8"/>
  <c r="EE6" i="8"/>
  <c r="ED6" i="8"/>
  <c r="EC6" i="8"/>
  <c r="EB6" i="8"/>
  <c r="EA6" i="8"/>
  <c r="DZ6" i="8"/>
  <c r="DY6" i="8"/>
  <c r="DX6" i="8"/>
  <c r="DW6" i="8"/>
  <c r="DV6" i="8"/>
  <c r="DU6" i="8"/>
  <c r="DT6" i="8"/>
  <c r="DS6" i="8"/>
  <c r="DR6" i="8"/>
  <c r="DQ6" i="8"/>
  <c r="DP6" i="8"/>
  <c r="DO6" i="8"/>
  <c r="DN6" i="8"/>
  <c r="DM6" i="8"/>
  <c r="DL6" i="8"/>
  <c r="DK6" i="8"/>
  <c r="DJ6" i="8"/>
  <c r="DI6" i="8"/>
  <c r="DH6" i="8"/>
  <c r="DG6" i="8"/>
  <c r="DF6" i="8"/>
  <c r="DE6" i="8"/>
  <c r="DD6" i="8"/>
  <c r="DC6" i="8"/>
  <c r="DB6" i="8"/>
  <c r="DA6" i="8"/>
  <c r="CZ6" i="8"/>
  <c r="CY6" i="8"/>
  <c r="CX6" i="8"/>
  <c r="CW6" i="8"/>
  <c r="CV6" i="8"/>
  <c r="CU6" i="8"/>
  <c r="CT6" i="8"/>
  <c r="CS6" i="8"/>
  <c r="CR6" i="8"/>
  <c r="CQ6" i="8"/>
  <c r="CP6" i="8"/>
  <c r="CO6" i="8"/>
  <c r="CN6" i="8"/>
  <c r="CM6" i="8"/>
  <c r="CL6" i="8"/>
  <c r="CK6" i="8"/>
  <c r="CJ6" i="8"/>
  <c r="CI6" i="8"/>
  <c r="CH6" i="8"/>
  <c r="CG6" i="8"/>
  <c r="CF6" i="8"/>
  <c r="CE6" i="8"/>
  <c r="CD6" i="8"/>
  <c r="CC6" i="8"/>
  <c r="CB6" i="8"/>
  <c r="CA6" i="8"/>
  <c r="BZ6" i="8"/>
  <c r="BY6" i="8"/>
  <c r="BX6" i="8"/>
  <c r="BW6" i="8"/>
  <c r="BV6" i="8"/>
  <c r="BU6" i="8"/>
  <c r="BT6" i="8"/>
  <c r="BS6" i="8"/>
  <c r="BR6" i="8"/>
  <c r="BQ6" i="8"/>
  <c r="BP6" i="8"/>
  <c r="BO6" i="8"/>
  <c r="BN6" i="8"/>
  <c r="BM6" i="8"/>
  <c r="BL6" i="8"/>
  <c r="BK6" i="8"/>
  <c r="BJ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B6" i="8"/>
  <c r="EY7" i="8"/>
  <c r="NR12" i="8" l="1"/>
  <c r="NJ21" i="8" a="1"/>
  <c r="NJ21" i="8" s="1"/>
  <c r="NJ11" i="8" a="1"/>
  <c r="NJ11" i="8" s="1"/>
  <c r="NJ10" i="8" a="1"/>
  <c r="NJ10" i="8" s="1"/>
  <c r="NP12" i="8"/>
  <c r="NR24" i="8"/>
  <c r="NR16" i="8"/>
  <c r="NP15" i="8"/>
  <c r="NP23" i="8"/>
  <c r="NJ16" i="8" a="1"/>
  <c r="NJ16" i="8" s="1"/>
  <c r="NN13" i="8"/>
  <c r="NN22" i="8"/>
  <c r="NR20" i="8"/>
  <c r="NR14" i="8"/>
  <c r="NP19" i="8"/>
  <c r="NN11" i="8"/>
  <c r="NN18" i="8"/>
  <c r="NK18" i="8" a="1"/>
  <c r="NK18" i="8" s="1"/>
  <c r="NM18" i="8" s="1"/>
  <c r="NO15" i="8"/>
  <c r="NQ14" i="8"/>
  <c r="NK12" i="8" a="1"/>
  <c r="NK12" i="8" s="1"/>
  <c r="NM12" i="8" s="1"/>
  <c r="NP11" i="8"/>
  <c r="NK22" i="8" a="1"/>
  <c r="NK22" i="8" s="1"/>
  <c r="NM22" i="8" s="1"/>
  <c r="NQ20" i="8"/>
  <c r="NO19" i="8"/>
  <c r="NQ16" i="8"/>
  <c r="NK11" i="8" a="1"/>
  <c r="NK11" i="8" s="1"/>
  <c r="NM11" i="8" s="1"/>
  <c r="NQ11" i="8"/>
  <c r="NO11" i="8"/>
  <c r="NP24" i="8"/>
  <c r="NN23" i="8"/>
  <c r="NR21" i="8"/>
  <c r="NP20" i="8"/>
  <c r="NN19" i="8"/>
  <c r="NR17" i="8"/>
  <c r="NP16" i="8"/>
  <c r="NN15" i="8"/>
  <c r="NP14" i="8"/>
  <c r="NJ12" i="8" a="1"/>
  <c r="NJ12" i="8" s="1"/>
  <c r="NJ17" i="8" a="1"/>
  <c r="NJ17" i="8" s="1"/>
  <c r="NJ13" i="8" a="1"/>
  <c r="NJ13" i="8" s="1"/>
  <c r="NO14" i="8"/>
  <c r="NJ20" i="8" a="1"/>
  <c r="NJ20" i="8" s="1"/>
  <c r="NJ14" i="8" a="1"/>
  <c r="NJ14" i="8" s="1"/>
  <c r="NJ18" i="8" a="1"/>
  <c r="NJ18" i="8" s="1"/>
  <c r="NK13" i="8" a="1"/>
  <c r="NK13" i="8" s="1"/>
  <c r="NM13" i="8" s="1"/>
  <c r="NQ21" i="8"/>
  <c r="NK15" i="8" a="1"/>
  <c r="NK15" i="8" s="1"/>
  <c r="NM15" i="8" s="1"/>
  <c r="NK10" i="8" a="1"/>
  <c r="NK10" i="8" s="1"/>
  <c r="NM10" i="8" s="1"/>
  <c r="NR11" i="8"/>
  <c r="NO12" i="8"/>
  <c r="NR13" i="8"/>
  <c r="NN24" i="8"/>
  <c r="NR22" i="8"/>
  <c r="NP21" i="8"/>
  <c r="NN20" i="8"/>
  <c r="NR18" i="8"/>
  <c r="NP17" i="8"/>
  <c r="NN16" i="8"/>
  <c r="NN14" i="8"/>
  <c r="NJ23" i="8" a="1"/>
  <c r="NJ23" i="8" s="1"/>
  <c r="NN10" i="8"/>
  <c r="NQ24" i="8"/>
  <c r="NP10" i="8"/>
  <c r="NO24" i="8"/>
  <c r="NO20" i="8"/>
  <c r="NO16" i="8"/>
  <c r="NO10" i="8"/>
  <c r="NQ13" i="8"/>
  <c r="NK24" i="8" a="1"/>
  <c r="NK24" i="8" s="1"/>
  <c r="NM24" i="8" s="1"/>
  <c r="NQ22" i="8"/>
  <c r="NO21" i="8"/>
  <c r="NK20" i="8" a="1"/>
  <c r="NK20" i="8" s="1"/>
  <c r="NM20" i="8" s="1"/>
  <c r="NQ18" i="8"/>
  <c r="NO17" i="8"/>
  <c r="NK16" i="8" a="1"/>
  <c r="NK16" i="8" s="1"/>
  <c r="NM16" i="8" s="1"/>
  <c r="NK14" i="8" a="1"/>
  <c r="NK14" i="8" s="1"/>
  <c r="NM14" i="8" s="1"/>
  <c r="NK19" i="8" a="1"/>
  <c r="NK19" i="8" s="1"/>
  <c r="NM19" i="8" s="1"/>
  <c r="NQ10" i="8"/>
  <c r="NN12" i="8"/>
  <c r="NP13" i="8"/>
  <c r="NR23" i="8"/>
  <c r="NP22" i="8"/>
  <c r="NN21" i="8"/>
  <c r="NR19" i="8"/>
  <c r="NP18" i="8"/>
  <c r="NN17" i="8"/>
  <c r="NR15" i="8"/>
  <c r="NJ22" i="8" a="1"/>
  <c r="NJ22" i="8" s="1"/>
  <c r="NJ19" i="8" a="1"/>
  <c r="NJ19" i="8" s="1"/>
  <c r="NJ24" i="8" a="1"/>
  <c r="NJ24" i="8" s="1"/>
  <c r="NO23" i="8"/>
  <c r="NK23" i="8" a="1"/>
  <c r="NK23" i="8" s="1"/>
  <c r="NM23" i="8" s="1"/>
  <c r="NQ17" i="8"/>
  <c r="NR10" i="8"/>
  <c r="NQ12" i="8"/>
  <c r="NO13" i="8"/>
  <c r="NQ23" i="8"/>
  <c r="NO22" i="8"/>
  <c r="NK21" i="8" a="1"/>
  <c r="NK21" i="8" s="1"/>
  <c r="NM21" i="8" s="1"/>
  <c r="NQ19" i="8"/>
  <c r="NO18" i="8"/>
  <c r="NK17" i="8" a="1"/>
  <c r="NK17" i="8" s="1"/>
  <c r="NM17" i="8" s="1"/>
  <c r="NQ15" i="8"/>
  <c r="NJ15" i="8" a="1"/>
  <c r="NJ15" i="8" s="1"/>
</calcChain>
</file>

<file path=xl/sharedStrings.xml><?xml version="1.0" encoding="utf-8"?>
<sst xmlns="http://schemas.openxmlformats.org/spreadsheetml/2006/main" count="200" uniqueCount="70">
  <si>
    <t>V</t>
  </si>
  <si>
    <t>M</t>
  </si>
  <si>
    <t>Enero</t>
  </si>
  <si>
    <t>Febrero</t>
  </si>
  <si>
    <t>Marzo</t>
  </si>
  <si>
    <t>Abril</t>
  </si>
  <si>
    <t>Mayo</t>
  </si>
  <si>
    <t>Junio</t>
  </si>
  <si>
    <t>Julio</t>
  </si>
  <si>
    <t>Agosto</t>
  </si>
  <si>
    <t>Septiembre</t>
  </si>
  <si>
    <t>Octubre</t>
  </si>
  <si>
    <t>Noviembre</t>
  </si>
  <si>
    <t>Diciembre</t>
  </si>
  <si>
    <t>Lun</t>
  </si>
  <si>
    <t>Mar</t>
  </si>
  <si>
    <t>Mie</t>
  </si>
  <si>
    <t>Jue</t>
  </si>
  <si>
    <t>Vie</t>
  </si>
  <si>
    <t>Sab</t>
  </si>
  <si>
    <t>Dom</t>
  </si>
  <si>
    <t>Enfermedad</t>
  </si>
  <si>
    <t>E</t>
  </si>
  <si>
    <t>Vacaciones</t>
  </si>
  <si>
    <t>Maternidad</t>
  </si>
  <si>
    <t>T</t>
  </si>
  <si>
    <t>Razón de Salida</t>
  </si>
  <si>
    <t>Nombre</t>
  </si>
  <si>
    <t>Días Laborables</t>
  </si>
  <si>
    <t>Si</t>
  </si>
  <si>
    <t>Feriado</t>
  </si>
  <si>
    <t>Fecha</t>
  </si>
  <si>
    <t>Días tomados en el mes</t>
  </si>
  <si>
    <t>Días tomados en el año</t>
  </si>
  <si>
    <t>Medio día</t>
  </si>
  <si>
    <t>Año Nuevo</t>
  </si>
  <si>
    <t>MD</t>
  </si>
  <si>
    <t>Elija el mes y el año que empezará a completar</t>
  </si>
  <si>
    <t>Días pendientes</t>
  </si>
  <si>
    <t>x</t>
  </si>
  <si>
    <t>natalicio benito juarez</t>
  </si>
  <si>
    <t>dia del trabajo</t>
  </si>
  <si>
    <t>independencia</t>
  </si>
  <si>
    <t>revolucion</t>
  </si>
  <si>
    <t>batalla</t>
  </si>
  <si>
    <t>navidad</t>
  </si>
  <si>
    <t>semana santa</t>
  </si>
  <si>
    <t>dia muertos</t>
  </si>
  <si>
    <t>FECHA DE INGRESO</t>
  </si>
  <si>
    <t>JOSE OTHON</t>
  </si>
  <si>
    <t>Permisos</t>
  </si>
  <si>
    <t>P</t>
  </si>
  <si>
    <t>OSCAR DELGADO MOYA</t>
  </si>
  <si>
    <t>MIGUEL MEZA</t>
  </si>
  <si>
    <t>ROSA LILIA DELGADO</t>
  </si>
  <si>
    <t>NATALIYA PERES PERES</t>
  </si>
  <si>
    <t>trabajador bancario</t>
  </si>
  <si>
    <t>Días por año y/o acumulados</t>
  </si>
  <si>
    <t>v</t>
  </si>
  <si>
    <t>md</t>
  </si>
  <si>
    <t>votaciones</t>
  </si>
  <si>
    <t>tendra 22 dias en enero 2025</t>
  </si>
  <si>
    <t>tendra 24 dias en febrero 2025</t>
  </si>
  <si>
    <t>rosy tendra 24 dias mas de vacaciones en 01 marzo 2025</t>
  </si>
  <si>
    <t>BRANDON MANUEL DURAN ROMERO</t>
  </si>
  <si>
    <t>tendra 24 dias en junio 2025</t>
  </si>
  <si>
    <t>ASHANTY JOSEBETH HERRERA RIVERA</t>
  </si>
  <si>
    <t>jose othon tendra 22 dias en octubre 2025</t>
  </si>
  <si>
    <t>TENDRA 14 DIAS EN OCT 25</t>
  </si>
  <si>
    <t>TENDRA 14 DIAS EN NOV 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</si>
</sst>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
    <numFmt numFmtId="165" formatCode=";;;"/>
    <numFmt numFmtId="166" formatCode="dd\ mmm\,\ yyyy"/>
    <numFmt numFmtId="167" formatCode="General;General;"/>
  </numFmts>
  <fonts count="19" x14ac:knownFonts="1">
    <font>
      <sz val="11"/>
      <color theme="1"/>
      <name val="Calibri"/>
      <family val="2"/>
      <scheme val="minor"/>
    </font>
    <font>
      <i/>
      <sz val="11"/>
      <color theme="1"/>
      <name val="Calibri"/>
      <family val="2"/>
      <scheme val="minor"/>
    </font>
    <font>
      <i/>
      <sz val="11"/>
      <name val="Calibri"/>
      <family val="2"/>
      <scheme val="minor"/>
    </font>
    <font>
      <i/>
      <sz val="9"/>
      <color theme="3" tint="0.39997558519241921"/>
      <name val="Calibri"/>
      <family val="2"/>
      <scheme val="minor"/>
    </font>
    <font>
      <b/>
      <i/>
      <sz val="9"/>
      <color theme="1" tint="0.34998626667073579"/>
      <name val="Calibri"/>
      <family val="2"/>
      <scheme val="minor"/>
    </font>
    <font>
      <sz val="10"/>
      <color theme="1" tint="0.34998626667073579"/>
      <name val="Calibri"/>
      <family val="2"/>
      <scheme val="minor"/>
    </font>
    <font>
      <sz val="11"/>
      <color theme="0"/>
      <name val="Calibri"/>
      <family val="2"/>
      <scheme val="minor"/>
    </font>
    <font>
      <i/>
      <sz val="11"/>
      <color rgb="FFFF0000"/>
      <name val="Calibri"/>
      <family val="2"/>
      <scheme val="minor"/>
    </font>
    <font>
      <sz val="8"/>
      <name val="Calibri"/>
      <family val="2"/>
      <scheme val="minor"/>
    </font>
    <font>
      <b/>
      <i/>
      <sz val="11"/>
      <color theme="0"/>
      <name val="Calibri"/>
      <family val="2"/>
      <scheme val="minor"/>
    </font>
    <font>
      <sz val="11"/>
      <name val="Calibri"/>
      <family val="2"/>
      <scheme val="minor"/>
    </font>
    <font>
      <b/>
      <sz val="9"/>
      <color theme="1"/>
      <name val="Calibri"/>
      <family val="2"/>
      <scheme val="minor"/>
    </font>
    <font>
      <sz val="11"/>
      <color rgb="FF000000"/>
      <name val="Calibri"/>
      <family val="2"/>
      <scheme val="minor"/>
    </font>
    <font>
      <b/>
      <sz val="12"/>
      <color theme="1"/>
      <name val="Calibri"/>
      <family val="2"/>
      <scheme val="minor"/>
    </font>
    <font>
      <sz val="9"/>
      <color theme="1"/>
      <name val="Calibri"/>
      <family val="2"/>
      <scheme val="minor"/>
    </font>
    <font>
      <b/>
      <i/>
      <sz val="12"/>
      <color theme="0"/>
      <name val="Calibri"/>
      <family val="2"/>
      <scheme val="minor"/>
    </font>
    <font>
      <b/>
      <sz val="12"/>
      <color theme="0"/>
      <name val="Calibri"/>
      <family val="2"/>
      <scheme val="minor"/>
    </font>
    <font>
      <b/>
      <sz val="10"/>
      <color theme="1"/>
      <name val="Calibri"/>
      <family val="2"/>
      <scheme val="minor"/>
    </font>
    <font>
      <b/>
      <sz val="10"/>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6" tint="0.39997558519241921"/>
        <bgColor indexed="65"/>
      </patternFill>
    </fill>
    <fill>
      <patternFill patternType="solid">
        <fgColor rgb="FF00B050"/>
        <bgColor indexed="64"/>
      </patternFill>
    </fill>
    <fill>
      <patternFill patternType="solid">
        <fgColor theme="6" tint="0.79998168889431442"/>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s>
  <cellStyleXfs count="2">
    <xf numFmtId="0" fontId="0" fillId="0" borderId="0"/>
    <xf numFmtId="0" fontId="6" fillId="3" borderId="0" applyNumberFormat="0" applyBorder="0" applyAlignment="0" applyProtection="0"/>
  </cellStyleXfs>
  <cellXfs count="59">
    <xf numFmtId="0" fontId="0" fillId="0" borderId="0" xfId="0"/>
    <xf numFmtId="0" fontId="0" fillId="0" borderId="1" xfId="0" applyBorder="1"/>
    <xf numFmtId="0" fontId="1" fillId="0" borderId="0" xfId="0" applyFont="1"/>
    <xf numFmtId="0" fontId="1" fillId="0" borderId="0" xfId="0" applyFont="1" applyAlignment="1">
      <alignment horizontal="center" vertical="center"/>
    </xf>
    <xf numFmtId="14" fontId="0" fillId="0" borderId="0" xfId="0" applyNumberFormat="1"/>
    <xf numFmtId="15" fontId="0" fillId="0" borderId="0" xfId="0" applyNumberFormat="1"/>
    <xf numFmtId="165" fontId="2" fillId="0" borderId="0" xfId="0" applyNumberFormat="1" applyFont="1" applyAlignment="1">
      <alignment horizontal="center" vertical="center"/>
    </xf>
    <xf numFmtId="165" fontId="1" fillId="0" borderId="0" xfId="0" applyNumberFormat="1" applyFont="1"/>
    <xf numFmtId="0" fontId="0" fillId="0" borderId="3" xfId="0" applyBorder="1"/>
    <xf numFmtId="0" fontId="3" fillId="0" borderId="0" xfId="0" applyFont="1" applyAlignment="1">
      <alignment horizontal="left" indent="1"/>
    </xf>
    <xf numFmtId="0" fontId="4" fillId="0" borderId="4" xfId="0" applyFont="1" applyBorder="1" applyAlignment="1">
      <alignment horizontal="center"/>
    </xf>
    <xf numFmtId="0" fontId="4" fillId="0" borderId="2" xfId="0" applyFont="1" applyBorder="1" applyAlignment="1">
      <alignment horizontal="center"/>
    </xf>
    <xf numFmtId="0" fontId="5" fillId="0" borderId="4" xfId="0" applyFont="1" applyBorder="1"/>
    <xf numFmtId="166" fontId="5" fillId="0" borderId="2" xfId="0" applyNumberFormat="1" applyFont="1" applyBorder="1"/>
    <xf numFmtId="0" fontId="5" fillId="0" borderId="5" xfId="0" applyFont="1" applyBorder="1"/>
    <xf numFmtId="166" fontId="5" fillId="0" borderId="1" xfId="0" applyNumberFormat="1" applyFont="1" applyBorder="1"/>
    <xf numFmtId="0" fontId="1" fillId="0" borderId="2" xfId="0" applyFont="1" applyBorder="1" applyAlignment="1">
      <alignment horizontal="centerContinuous" vertical="center"/>
    </xf>
    <xf numFmtId="165" fontId="7" fillId="0" borderId="0" xfId="0" applyNumberFormat="1" applyFont="1"/>
    <xf numFmtId="167" fontId="0" fillId="0" borderId="1" xfId="0" applyNumberFormat="1" applyBorder="1" applyAlignment="1">
      <alignment horizontal="center"/>
    </xf>
    <xf numFmtId="164" fontId="8" fillId="0" borderId="1" xfId="0" applyNumberFormat="1" applyFont="1" applyBorder="1" applyAlignment="1">
      <alignment horizontal="center" vertical="center"/>
    </xf>
    <xf numFmtId="0" fontId="10" fillId="0" borderId="0" xfId="0" applyFont="1"/>
    <xf numFmtId="0" fontId="0" fillId="0" borderId="1"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8" xfId="0" applyBorder="1"/>
    <xf numFmtId="0" fontId="12" fillId="0" borderId="0" xfId="0" applyFont="1" applyAlignment="1">
      <alignment horizontal="center" vertical="center"/>
    </xf>
    <xf numFmtId="0" fontId="13" fillId="2" borderId="0" xfId="0" applyFont="1" applyFill="1" applyAlignment="1">
      <alignment horizontal="center"/>
    </xf>
    <xf numFmtId="0" fontId="15" fillId="0" borderId="0" xfId="0" applyFont="1" applyAlignment="1">
      <alignment horizontal="center"/>
    </xf>
    <xf numFmtId="0" fontId="0" fillId="5" borderId="1" xfId="0" applyFill="1" applyBorder="1" applyAlignment="1">
      <alignment horizontal="center"/>
    </xf>
    <xf numFmtId="0" fontId="6" fillId="4" borderId="1" xfId="1" applyFill="1" applyBorder="1" applyAlignment="1">
      <alignment vertical="center"/>
    </xf>
    <xf numFmtId="16" fontId="6" fillId="4" borderId="1" xfId="1" applyNumberFormat="1" applyFill="1" applyBorder="1" applyAlignment="1">
      <alignment horizontal="center" vertical="center"/>
    </xf>
    <xf numFmtId="0" fontId="0" fillId="6" borderId="1" xfId="0" applyFill="1" applyBorder="1" applyAlignment="1">
      <alignment horizontal="center"/>
    </xf>
    <xf numFmtId="0" fontId="0" fillId="7" borderId="1" xfId="0" applyFill="1" applyBorder="1" applyAlignment="1">
      <alignment horizontal="center"/>
    </xf>
    <xf numFmtId="0" fontId="16" fillId="0" borderId="0" xfId="0" applyFont="1" applyAlignment="1">
      <alignment horizontal="center"/>
    </xf>
    <xf numFmtId="14" fontId="17" fillId="0" borderId="3" xfId="0" applyNumberFormat="1" applyFont="1" applyBorder="1"/>
    <xf numFmtId="0" fontId="17" fillId="0" borderId="3" xfId="0" applyFont="1" applyBorder="1" applyAlignment="1">
      <alignment horizontal="center"/>
    </xf>
    <xf numFmtId="0" fontId="17" fillId="0" borderId="3" xfId="0" applyFont="1" applyBorder="1"/>
    <xf numFmtId="0" fontId="18" fillId="0" borderId="3" xfId="0" applyFont="1" applyBorder="1" applyAlignment="1">
      <alignment vertical="center"/>
    </xf>
    <xf numFmtId="0" fontId="18" fillId="0" borderId="3" xfId="0" applyFont="1" applyBorder="1" applyAlignment="1">
      <alignment horizontal="center" vertical="center"/>
    </xf>
    <xf numFmtId="0" fontId="6" fillId="0" borderId="0" xfId="0" applyFont="1" applyAlignment="1">
      <alignment horizontal="center"/>
    </xf>
    <xf numFmtId="16" fontId="5" fillId="0" borderId="4" xfId="0" applyNumberFormat="1" applyFont="1" applyBorder="1"/>
    <xf numFmtId="16" fontId="5" fillId="0" borderId="5" xfId="0" applyNumberFormat="1" applyFont="1" applyBorder="1"/>
    <xf numFmtId="0" fontId="0" fillId="8" borderId="0" xfId="0" applyFill="1"/>
    <xf numFmtId="0" fontId="0" fillId="8" borderId="8" xfId="0" applyFill="1" applyBorder="1" applyAlignment="1">
      <alignment horizontal="center"/>
    </xf>
    <xf numFmtId="0" fontId="0" fillId="8" borderId="0" xfId="0" applyFill="1" applyAlignment="1">
      <alignment horizontal="center"/>
    </xf>
    <xf numFmtId="0" fontId="10" fillId="8" borderId="0" xfId="0" applyFont="1" applyFill="1"/>
    <xf numFmtId="15" fontId="0" fillId="8" borderId="0" xfId="0" applyNumberFormat="1" applyFill="1"/>
    <xf numFmtId="17" fontId="0" fillId="8" borderId="0" xfId="0" applyNumberFormat="1" applyFill="1"/>
    <xf numFmtId="16" fontId="0" fillId="0" borderId="1" xfId="0" applyNumberFormat="1" applyBorder="1" applyAlignment="1">
      <alignment horizontal="center"/>
    </xf>
    <xf numFmtId="0" fontId="14" fillId="0" borderId="1" xfId="0" applyFont="1" applyBorder="1" applyAlignment="1">
      <alignment horizontal="center" vertical="center" wrapText="1"/>
    </xf>
    <xf numFmtId="0" fontId="14" fillId="0" borderId="1" xfId="0" applyFont="1" applyBorder="1" applyAlignment="1">
      <alignment horizontal="center" vertical="center"/>
    </xf>
    <xf numFmtId="0" fontId="11" fillId="6" borderId="1" xfId="0" applyFont="1" applyFill="1" applyBorder="1" applyAlignment="1">
      <alignment horizontal="center" vertical="center" wrapText="1"/>
    </xf>
    <xf numFmtId="0" fontId="11" fillId="6" borderId="1" xfId="0" applyFont="1" applyFill="1" applyBorder="1" applyAlignment="1">
      <alignment horizontal="center" vertical="center"/>
    </xf>
    <xf numFmtId="0" fontId="11" fillId="7" borderId="1" xfId="0" applyFont="1" applyFill="1" applyBorder="1" applyAlignment="1">
      <alignment horizontal="center" vertical="center" wrapText="1"/>
    </xf>
    <xf numFmtId="0" fontId="11" fillId="7" borderId="1" xfId="0" applyFont="1" applyFill="1" applyBorder="1" applyAlignment="1">
      <alignment horizontal="center" vertical="center"/>
    </xf>
    <xf numFmtId="0" fontId="11" fillId="5" borderId="2" xfId="0" applyFont="1" applyFill="1" applyBorder="1" applyAlignment="1">
      <alignment horizontal="center" vertical="center" wrapText="1"/>
    </xf>
    <xf numFmtId="0" fontId="11" fillId="5" borderId="9" xfId="0" applyFont="1" applyFill="1" applyBorder="1" applyAlignment="1">
      <alignment horizontal="center" vertical="center" wrapText="1"/>
    </xf>
    <xf numFmtId="0" fontId="9" fillId="4" borderId="6" xfId="0" applyFont="1" applyFill="1" applyBorder="1" applyAlignment="1">
      <alignment horizontal="center"/>
    </xf>
    <xf numFmtId="0" fontId="9" fillId="4" borderId="7" xfId="0" applyFont="1" applyFill="1" applyBorder="1" applyAlignment="1">
      <alignment horizontal="center"/>
    </xf>
  </cellXfs>
  <cellStyles count="2">
    <cellStyle name="60% - Énfasis3" xfId="1" builtinId="40"/>
    <cellStyle name="Normal" xfId="0" builtinId="0"/>
  </cellStyles>
  <dxfs count="7">
    <dxf>
      <font>
        <color rgb="FFFF0000"/>
      </font>
    </dxf>
    <dxf>
      <fill>
        <gradientFill type="path" left="0.5" right="0.5" top="0.5" bottom="0.5">
          <stop position="0">
            <color theme="0"/>
          </stop>
          <stop position="1">
            <color theme="0" tint="-0.25098422193060094"/>
          </stop>
        </gradientFill>
      </fill>
      <border>
        <left style="thin">
          <color auto="1"/>
        </left>
        <right style="thin">
          <color auto="1"/>
        </right>
        <top style="thin">
          <color auto="1"/>
        </top>
        <bottom style="thin">
          <color auto="1"/>
        </bottom>
      </border>
    </dxf>
    <dxf>
      <font>
        <b/>
        <i val="0"/>
        <color rgb="FFFFFF00"/>
      </font>
      <fill>
        <patternFill patternType="solid">
          <bgColor rgb="FF00B050"/>
        </patternFill>
      </fill>
    </dxf>
    <dxf>
      <fill>
        <gradientFill type="path">
          <stop position="0">
            <color theme="0"/>
          </stop>
          <stop position="1">
            <color rgb="FFFFC000"/>
          </stop>
        </gradientFill>
      </fill>
    </dxf>
    <dxf>
      <font>
        <b/>
        <i val="0"/>
        <color theme="1"/>
      </font>
      <fill>
        <gradientFill degree="90">
          <stop position="0">
            <color theme="0"/>
          </stop>
          <stop position="0.5">
            <color rgb="FF00B0F0"/>
          </stop>
          <stop position="1">
            <color theme="0"/>
          </stop>
        </gradientFill>
      </fill>
    </dxf>
    <dxf>
      <fill>
        <gradientFill type="path" left="0.5" right="0.5" top="0.5" bottom="0.5">
          <stop position="0">
            <color theme="0"/>
          </stop>
          <stop position="1">
            <color theme="9" tint="0.40000610370189521"/>
          </stop>
        </gradientFill>
      </fill>
    </dxf>
    <dxf>
      <font>
        <b/>
        <i val="0"/>
        <color theme="0"/>
      </font>
      <fill>
        <patternFill>
          <bgColor theme="4"/>
        </patternFill>
      </fill>
    </dxf>
  </dxfs>
  <tableStyles count="0" defaultTableStyle="TableStyleMedium2" defaultPivotStyle="PivotStyleLight16"/>
  <colors>
    <mruColors>
      <color rgb="FFFDF945"/>
      <color rgb="FFFFFF99"/>
      <color rgb="FFFF9999"/>
      <color rgb="FFFF6699"/>
      <color rgb="FFFFCC66"/>
      <color rgb="FF008080"/>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Scroll" dx="22" fmlaLink="$A$5" horiz="1" max="12" min="1" page="0" val="12"/>
</file>

<file path=xl/drawings/drawing1.xml><?xml version="1.0" encoding="utf-8"?>
<xdr:wsDr xmlns:xdr="http://schemas.openxmlformats.org/drawingml/2006/spreadsheetDrawing" xmlns:a="http://schemas.openxmlformats.org/drawingml/2006/main">
  <xdr:twoCellAnchor>
    <xdr:from>
      <xdr:col>1</xdr:col>
      <xdr:colOff>457200</xdr:colOff>
      <xdr:row>3</xdr:row>
      <xdr:rowOff>38100</xdr:rowOff>
    </xdr:from>
    <xdr:to>
      <xdr:col>11</xdr:col>
      <xdr:colOff>533400</xdr:colOff>
      <xdr:row>27</xdr:row>
      <xdr:rowOff>114300</xdr:rowOff>
    </xdr:to>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1219200" y="609600"/>
          <a:ext cx="7696200" cy="464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100"/>
            <a:t>1.-</a:t>
          </a:r>
          <a:r>
            <a:rPr lang="es-AR" sz="1100" baseline="0"/>
            <a:t> En la hoja "</a:t>
          </a:r>
          <a:r>
            <a:rPr lang="es-AR" sz="1100" b="1" baseline="0"/>
            <a:t>Feriados y días laborables" </a:t>
          </a:r>
          <a:r>
            <a:rPr lang="es-AR" sz="1100" baseline="0"/>
            <a:t>se deben escribir los feriados del año que se va a completar y que días son laborables.</a:t>
          </a:r>
        </a:p>
        <a:p>
          <a:endParaRPr lang="es-AR" sz="1100" baseline="0"/>
        </a:p>
        <a:p>
          <a:r>
            <a:rPr lang="es-AR" sz="1100" baseline="0"/>
            <a:t>2.- En días tomados primero se selecciona el año a completar (Celda A4) y luego con la barra de desplazamiento, se va eligiendo el mes a completar.  </a:t>
          </a:r>
        </a:p>
        <a:p>
          <a:endParaRPr lang="es-AR" sz="1100" baseline="0"/>
        </a:p>
        <a:p>
          <a:r>
            <a:rPr lang="es-AR" sz="1100" baseline="0"/>
            <a:t>3.- Se completan los empleados y en base a los códigos del rango NJ2 NK6 se completan los días tomados. </a:t>
          </a:r>
          <a:r>
            <a:rPr lang="es-AR" sz="1100" b="1" baseline="0"/>
            <a:t>L</a:t>
          </a:r>
          <a:r>
            <a:rPr lang="es-AR" sz="1100" b="1" baseline="0">
              <a:solidFill>
                <a:schemeClr val="dk1"/>
              </a:solidFill>
              <a:effectLst/>
              <a:latin typeface="+mn-lt"/>
              <a:ea typeface="+mn-ea"/>
              <a:cs typeface="+mn-cs"/>
            </a:rPr>
            <a:t>a Columna NL debe ser completada con los días que tiene disponible cada empleado total para vacaciones/trámites/licencias/etc.</a:t>
          </a:r>
        </a:p>
        <a:p>
          <a:endParaRPr lang="es-AR">
            <a:effectLst/>
          </a:endParaRPr>
        </a:p>
        <a:p>
          <a:r>
            <a:rPr lang="es-AR" sz="1100" baseline="0"/>
            <a:t>	&gt;&gt; La columna NJ arrojará los días que se va tomando el empleado en el mes</a:t>
          </a:r>
        </a:p>
        <a:p>
          <a:r>
            <a:rPr lang="es-AR" sz="1100" baseline="0"/>
            <a:t>	&gt;&gt; La Columna NK arrojará los días que se va tomando el empleado en el año</a:t>
          </a:r>
        </a:p>
        <a:p>
          <a:r>
            <a:rPr lang="es-AR" sz="1100" baseline="0"/>
            <a:t>	&gt;&gt;La Columna NL son los días que tiene disponibles el empleado (se debe completar)</a:t>
          </a:r>
        </a:p>
        <a:p>
          <a:r>
            <a:rPr lang="es-AR" sz="1100" baseline="0"/>
            <a:t>	&gt;&gt; La Columna NM arrojará los días pendientes que tiene en el año para tomarse.</a:t>
          </a:r>
        </a:p>
        <a:p>
          <a:r>
            <a:rPr lang="es-AR" sz="1100" baseline="0"/>
            <a:t>	&gt;&gt; Las Columnas de NN a NR arrojará un resumen de que tipo de licencia tomó cada empleado en el año.</a:t>
          </a:r>
        </a:p>
        <a:p>
          <a:endParaRPr lang="es-AR" sz="1100" baseline="0"/>
        </a:p>
        <a:p>
          <a:r>
            <a:rPr lang="es-AR" sz="1100" baseline="0"/>
            <a:t>4.- Si quiero completar para el siguiente año dejando en blanco el año anterior, simplemente oprimo el botón "Limpiar días tomados en el año"</a:t>
          </a:r>
        </a:p>
        <a:p>
          <a:endParaRPr lang="es-AR" sz="1100" baseline="0"/>
        </a:p>
        <a:p>
          <a:r>
            <a:rPr lang="es-AR" sz="1100" baseline="0"/>
            <a:t>5.- por ley en mexico el primer año se tienen 6 dias de vacaciones, el segundo año 8 dias de vacaciones, el tercer año 10 dias de vacaciones, del cuarto al octavo año 12 dias de vacaciones, del noveno al trece año 14 dias de vacaciones y asi cada 5 años amenta 2 años las vacaciones.</a:t>
          </a:r>
        </a:p>
        <a:p>
          <a:endParaRPr lang="es-AR" sz="1100" baseline="0"/>
        </a:p>
        <a:p>
          <a:endParaRPr lang="es-AR" sz="1100" baseline="0"/>
        </a:p>
        <a:p>
          <a:r>
            <a:rPr lang="es-AR" sz="1100" baseline="0"/>
            <a:t>6.- IMPORTANTE, si el trabajador falta por otro motivo que no sea vacaciones (enfermedad, permiso, retardo, maternidad) se debera de aumentar ese dia en el recuadro de dias por año ya que se le descontaria de sus vacaciones.</a:t>
          </a:r>
        </a:p>
        <a:p>
          <a:endParaRPr lang="es-AR" sz="1100" baseline="0"/>
        </a:p>
        <a:p>
          <a:endParaRPr lang="es-AR" sz="110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347</xdr:col>
      <xdr:colOff>232064</xdr:colOff>
      <xdr:row>0</xdr:row>
      <xdr:rowOff>142875</xdr:rowOff>
    </xdr:from>
    <xdr:to>
      <xdr:col>357</xdr:col>
      <xdr:colOff>169676</xdr:colOff>
      <xdr:row>2</xdr:row>
      <xdr:rowOff>178741</xdr:rowOff>
    </xdr:to>
    <xdr:sp macro="" textlink="Auxiliar!G1">
      <xdr:nvSpPr>
        <xdr:cNvPr id="6" name="Rectangle 2">
          <a:extLst>
            <a:ext uri="{FF2B5EF4-FFF2-40B4-BE49-F238E27FC236}">
              <a16:creationId xmlns:a16="http://schemas.microsoft.com/office/drawing/2014/main" id="{00000000-0008-0000-0100-000006000000}"/>
            </a:ext>
          </a:extLst>
        </xdr:cNvPr>
        <xdr:cNvSpPr/>
      </xdr:nvSpPr>
      <xdr:spPr>
        <a:xfrm>
          <a:off x="3464719" y="142875"/>
          <a:ext cx="2437924" cy="418189"/>
        </a:xfrm>
        <a:prstGeom prst="rect">
          <a:avLst/>
        </a:prstGeom>
        <a:ln>
          <a:solidFill>
            <a:srgbClr val="0070C0"/>
          </a:solidFill>
        </a:ln>
        <a:effectLst>
          <a:outerShdw blurRad="254000" dist="88900" dir="3780000" sx="48000" sy="48000" algn="ctr" rotWithShape="0">
            <a:srgbClr val="000000">
              <a:alpha val="86000"/>
            </a:srgb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427982F2-DC6D-4DC8-A321-33C7472B535A}" type="TxLink">
            <a:rPr lang="en-US" sz="1100" b="0" i="0" u="none" strike="noStrike">
              <a:solidFill>
                <a:srgbClr val="000000"/>
              </a:solidFill>
              <a:latin typeface="Calibri"/>
            </a:rPr>
            <a:pPr algn="ctr"/>
            <a:t>Diciembre</a:t>
          </a:fld>
          <a:endParaRPr lang="en-US" sz="2400" b="1" i="1" u="sng">
            <a:solidFill>
              <a:schemeClr val="tx2">
                <a:lumMod val="60000"/>
                <a:lumOff val="40000"/>
              </a:schemeClr>
            </a:solidFill>
          </a:endParaRPr>
        </a:p>
      </xdr:txBody>
    </xdr:sp>
    <xdr:clientData/>
  </xdr:twoCellAnchor>
  <xdr:twoCellAnchor>
    <xdr:from>
      <xdr:col>372</xdr:col>
      <xdr:colOff>206375</xdr:colOff>
      <xdr:row>0</xdr:row>
      <xdr:rowOff>158750</xdr:rowOff>
    </xdr:from>
    <xdr:to>
      <xdr:col>375</xdr:col>
      <xdr:colOff>42332</xdr:colOff>
      <xdr:row>6</xdr:row>
      <xdr:rowOff>42333</xdr:rowOff>
    </xdr:to>
    <xdr:sp macro="" textlink="">
      <xdr:nvSpPr>
        <xdr:cNvPr id="8" name="Rectángulo 7">
          <a:extLst>
            <a:ext uri="{FF2B5EF4-FFF2-40B4-BE49-F238E27FC236}">
              <a16:creationId xmlns:a16="http://schemas.microsoft.com/office/drawing/2014/main" id="{00000000-0008-0000-0100-000008000000}"/>
            </a:ext>
          </a:extLst>
        </xdr:cNvPr>
        <xdr:cNvSpPr/>
      </xdr:nvSpPr>
      <xdr:spPr>
        <a:xfrm>
          <a:off x="95392875" y="158750"/>
          <a:ext cx="1661582" cy="1074208"/>
        </a:xfrm>
        <a:prstGeom prst="rect">
          <a:avLst/>
        </a:prstGeom>
        <a:noFill/>
        <a:ln>
          <a:solidFill>
            <a:srgbClr val="FDF945"/>
          </a:solidFill>
        </a:ln>
        <a:effectLst>
          <a:outerShdw blurRad="50800" dist="38100" dir="10800000" algn="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AR" sz="1100"/>
        </a:p>
      </xdr:txBody>
    </xdr:sp>
    <xdr:clientData/>
  </xdr:twoCellAnchor>
  <mc:AlternateContent xmlns:mc="http://schemas.openxmlformats.org/markup-compatibility/2006">
    <mc:Choice xmlns:a14="http://schemas.microsoft.com/office/drawing/2010/main" Requires="a14">
      <xdr:twoCellAnchor editAs="absolute">
        <xdr:from>
          <xdr:col>346</xdr:col>
          <xdr:colOff>9525</xdr:colOff>
          <xdr:row>4</xdr:row>
          <xdr:rowOff>9525</xdr:rowOff>
        </xdr:from>
        <xdr:to>
          <xdr:col>359</xdr:col>
          <xdr:colOff>190500</xdr:colOff>
          <xdr:row>5</xdr:row>
          <xdr:rowOff>47625</xdr:rowOff>
        </xdr:to>
        <xdr:sp macro="" textlink="">
          <xdr:nvSpPr>
            <xdr:cNvPr id="92185" name="Scroll Bar 25" hidden="1">
              <a:extLst>
                <a:ext uri="{63B3BB69-23CF-44E3-9099-C40C66FF867C}">
                  <a14:compatExt spid="_x0000_s92185"/>
                </a:ext>
                <a:ext uri="{FF2B5EF4-FFF2-40B4-BE49-F238E27FC236}">
                  <a16:creationId xmlns:a16="http://schemas.microsoft.com/office/drawing/2014/main" id="{00000000-0008-0000-0100-0000196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376</xdr:col>
      <xdr:colOff>273843</xdr:colOff>
      <xdr:row>0</xdr:row>
      <xdr:rowOff>178594</xdr:rowOff>
    </xdr:from>
    <xdr:to>
      <xdr:col>379</xdr:col>
      <xdr:colOff>178594</xdr:colOff>
      <xdr:row>4</xdr:row>
      <xdr:rowOff>-1</xdr:rowOff>
    </xdr:to>
    <xdr:sp macro="[0]!Limpiar2" textlink="">
      <xdr:nvSpPr>
        <xdr:cNvPr id="2" name="Rectángulo redondeado 1">
          <a:extLst>
            <a:ext uri="{FF2B5EF4-FFF2-40B4-BE49-F238E27FC236}">
              <a16:creationId xmlns:a16="http://schemas.microsoft.com/office/drawing/2014/main" id="{00000000-0008-0000-0100-000002000000}"/>
            </a:ext>
          </a:extLst>
        </xdr:cNvPr>
        <xdr:cNvSpPr/>
      </xdr:nvSpPr>
      <xdr:spPr>
        <a:xfrm>
          <a:off x="11453812" y="178594"/>
          <a:ext cx="1309688" cy="60721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AR" sz="1100"/>
            <a:t>Limpiar</a:t>
          </a:r>
          <a:r>
            <a:rPr lang="es-AR" sz="1100" baseline="0"/>
            <a:t> días tomados en el año</a:t>
          </a:r>
          <a:endParaRPr lang="es-A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538370</xdr:colOff>
      <xdr:row>0</xdr:row>
      <xdr:rowOff>124239</xdr:rowOff>
    </xdr:from>
    <xdr:to>
      <xdr:col>5</xdr:col>
      <xdr:colOff>99392</xdr:colOff>
      <xdr:row>9</xdr:row>
      <xdr:rowOff>74542</xdr:rowOff>
    </xdr:to>
    <xdr:sp macro="" textlink="">
      <xdr:nvSpPr>
        <xdr:cNvPr id="2" name="Rectángulo 1">
          <a:extLst>
            <a:ext uri="{FF2B5EF4-FFF2-40B4-BE49-F238E27FC236}">
              <a16:creationId xmlns:a16="http://schemas.microsoft.com/office/drawing/2014/main" id="{00000000-0008-0000-0300-000002000000}"/>
            </a:ext>
          </a:extLst>
        </xdr:cNvPr>
        <xdr:cNvSpPr/>
      </xdr:nvSpPr>
      <xdr:spPr>
        <a:xfrm>
          <a:off x="2948609" y="124239"/>
          <a:ext cx="1482587" cy="1664803"/>
        </a:xfrm>
        <a:prstGeom prst="rect">
          <a:avLst/>
        </a:prstGeom>
        <a:noFill/>
        <a:ln w="38100" cmpd="dbl">
          <a:solidFill>
            <a:srgbClr val="00B050">
              <a:alpha val="97000"/>
            </a:srgbClr>
          </a:solidFill>
          <a:prstDash val="sysDash"/>
          <a:bevel/>
        </a:ln>
        <a:effectLst>
          <a:outerShdw blurRad="50800" dist="38100" dir="2700000" algn="tl" rotWithShape="0">
            <a:prstClr val="black">
              <a:alpha val="40000"/>
            </a:prstClr>
          </a:outerShdw>
        </a:effectLst>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
  <sheetViews>
    <sheetView showGridLines="0" topLeftCell="A10" workbookViewId="0">
      <selection activeCell="D15" sqref="D15"/>
    </sheetView>
  </sheetViews>
  <sheetFormatPr baseColWidth="10"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eaveTracker">
    <pageSetUpPr fitToPage="1"/>
  </sheetPr>
  <dimension ref="A1:ACE24"/>
  <sheetViews>
    <sheetView showGridLines="0" tabSelected="1" showWhiteSpace="0" topLeftCell="A4" zoomScaleNormal="100" zoomScaleSheetLayoutView="100" workbookViewId="0">
      <pane xSplit="1" topLeftCell="ME1" activePane="topRight" state="frozen"/>
      <selection activeCell="A6" sqref="A6"/>
      <selection pane="topRight" activeCell="MW15" sqref="MW15"/>
    </sheetView>
  </sheetViews>
  <sheetFormatPr baseColWidth="10" defaultColWidth="9.140625" defaultRowHeight="15" x14ac:dyDescent="0.25"/>
  <cols>
    <col min="1" max="1" width="29.5703125" customWidth="1"/>
    <col min="2" max="10" width="3.7109375" style="22" hidden="1" customWidth="1"/>
    <col min="11" max="11" width="4.140625" style="22" hidden="1" customWidth="1"/>
    <col min="12" max="30" width="3.7109375" style="22" hidden="1" customWidth="1"/>
    <col min="31" max="31" width="4.7109375" style="22" hidden="1" customWidth="1"/>
    <col min="32" max="32" width="4.42578125" style="22" hidden="1" customWidth="1"/>
    <col min="33" max="33" width="3.28515625" style="22" hidden="1" customWidth="1"/>
    <col min="34" max="342" width="3.7109375" style="22" hidden="1" customWidth="1"/>
    <col min="343" max="373" width="3.7109375" style="22" customWidth="1"/>
    <col min="374" max="374" width="12.140625" style="22" customWidth="1"/>
    <col min="375" max="376" width="11.42578125" style="22" customWidth="1"/>
    <col min="377" max="377" width="13.5703125" style="22" customWidth="1"/>
    <col min="378" max="381" width="3.7109375" style="22" customWidth="1"/>
    <col min="382" max="382" width="3.7109375" customWidth="1"/>
    <col min="383" max="383" width="4.28515625" bestFit="1" customWidth="1"/>
    <col min="384" max="384" width="16.85546875" style="42" customWidth="1"/>
    <col min="385" max="385" width="104" customWidth="1"/>
    <col min="386" max="386" width="21.42578125" customWidth="1"/>
    <col min="387" max="398" width="5.7109375" customWidth="1"/>
  </cols>
  <sheetData>
    <row r="1" spans="1:759" x14ac:dyDescent="0.25">
      <c r="AF1" s="39" t="s">
        <v>39</v>
      </c>
      <c r="NI1" s="22" t="s">
        <v>39</v>
      </c>
    </row>
    <row r="2" spans="1:759" x14ac:dyDescent="0.25">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s="34" t="s">
        <v>21</v>
      </c>
      <c r="NK2" s="35" t="s">
        <v>22</v>
      </c>
      <c r="NL2"/>
      <c r="NM2"/>
      <c r="NN2"/>
      <c r="NO2"/>
      <c r="NP2"/>
      <c r="NQ2"/>
      <c r="NU2" s="23"/>
      <c r="NV2" s="23"/>
      <c r="NW2" s="23"/>
      <c r="NX2" s="23"/>
      <c r="NY2" s="23"/>
      <c r="NZ2" s="23"/>
      <c r="OA2" s="23"/>
      <c r="OB2" s="23"/>
      <c r="OC2" s="23"/>
      <c r="OD2" s="23"/>
      <c r="OE2" s="23"/>
      <c r="OF2" s="23"/>
    </row>
    <row r="3" spans="1:759" ht="15.75" x14ac:dyDescent="0.25">
      <c r="A3" s="27">
        <v>1</v>
      </c>
      <c r="B3" s="9"/>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s="34" t="s">
        <v>23</v>
      </c>
      <c r="NK3" s="35" t="s">
        <v>0</v>
      </c>
      <c r="NL3"/>
      <c r="NM3"/>
      <c r="NN3"/>
      <c r="NO3"/>
      <c r="NP3"/>
      <c r="NQ3"/>
      <c r="NS3" s="23"/>
      <c r="NT3" s="43"/>
      <c r="NU3" s="23"/>
      <c r="NV3" s="23"/>
      <c r="NW3" s="23"/>
      <c r="NX3" s="23"/>
      <c r="NY3" s="23"/>
      <c r="NZ3" s="23"/>
      <c r="OA3" s="23"/>
      <c r="OB3" s="23"/>
      <c r="OC3" s="23"/>
      <c r="OD3" s="23"/>
    </row>
    <row r="4" spans="1:759" ht="15.75" x14ac:dyDescent="0.25">
      <c r="A4" s="26">
        <v>2024</v>
      </c>
      <c r="B4" s="9"/>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s="36" t="s">
        <v>24</v>
      </c>
      <c r="NK4" s="35" t="s">
        <v>1</v>
      </c>
      <c r="NL4"/>
      <c r="NM4"/>
      <c r="NN4"/>
      <c r="NO4"/>
      <c r="NP4"/>
      <c r="NQ4"/>
      <c r="NS4" s="23"/>
      <c r="NT4" s="43"/>
      <c r="NU4" s="23"/>
      <c r="NV4" s="23"/>
      <c r="NW4" s="23"/>
      <c r="NX4" s="23"/>
      <c r="NY4" s="23"/>
      <c r="NZ4" s="23"/>
      <c r="OA4" s="23"/>
      <c r="OB4" s="23"/>
      <c r="OC4" s="23"/>
      <c r="OD4" s="23"/>
    </row>
    <row r="5" spans="1:759" ht="15.75" x14ac:dyDescent="0.25">
      <c r="A5" s="33">
        <v>12</v>
      </c>
      <c r="B5" s="9"/>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s="36" t="s">
        <v>50</v>
      </c>
      <c r="NK5" s="35" t="s">
        <v>51</v>
      </c>
      <c r="NL5"/>
      <c r="NM5"/>
      <c r="NN5"/>
      <c r="NO5"/>
      <c r="NP5"/>
      <c r="NQ5"/>
      <c r="NS5" s="22"/>
      <c r="NT5" s="44"/>
      <c r="NU5" s="22"/>
      <c r="NV5" s="22"/>
      <c r="NW5" s="22"/>
      <c r="NX5" s="22"/>
      <c r="NY5" s="22"/>
      <c r="NZ5" s="22"/>
      <c r="OA5" s="22"/>
      <c r="OB5" s="22"/>
      <c r="OC5" s="22"/>
      <c r="OD5" s="22"/>
    </row>
    <row r="6" spans="1:759" x14ac:dyDescent="0.25">
      <c r="A6" s="6">
        <v>1</v>
      </c>
      <c r="B6" s="7" t="b">
        <f>AND(NOT(ISNUMBER(MATCH(DATE($A$4,INT((COLUMN()-1)/31.001)+$A$3,ROUNDUP(MOD(COLUMN()-1,31.001),0)),Feriados,0))),(VLOOKUP(VLOOKUP(WEEKDAY(DATE($A$4,INT((COLUMN()-1)/31.001)+$A$3,ROUNDUP(MOD(COLUMN()-1,31.001),0)),2),Auxiliar!$D$1:$E$7,2,0),'Feriados y días laborables'!$D$3:$E$9,2,0)="Si"))</f>
        <v>0</v>
      </c>
      <c r="C6" s="7" t="b">
        <f>AND(NOT(ISNUMBER(MATCH(DATE($A$4,INT((COLUMN()-1)/31.001)+$A$3,ROUNDUP(MOD(COLUMN()-1,31.001),0)),Feriados,0))),(VLOOKUP(VLOOKUP(WEEKDAY(DATE($A$4,INT((COLUMN()-1)/31.001)+$A$3,ROUNDUP(MOD(COLUMN()-1,31.001),0)),2),Auxiliar!$D$1:$E$7,2,0),'Feriados y días laborables'!$D$3:$E$9,2,0)="Si"))</f>
        <v>1</v>
      </c>
      <c r="D6" s="7" t="b">
        <f>AND(NOT(ISNUMBER(MATCH(DATE($A$4,INT((COLUMN()-1)/31.001)+$A$3,ROUNDUP(MOD(COLUMN()-1,31.001),0)),Feriados,0))),(VLOOKUP(VLOOKUP(WEEKDAY(DATE($A$4,INT((COLUMN()-1)/31.001)+$A$3,ROUNDUP(MOD(COLUMN()-1,31.001),0)),2),Auxiliar!$D$1:$E$7,2,0),'Feriados y días laborables'!$D$3:$E$9,2,0)="Si"))</f>
        <v>1</v>
      </c>
      <c r="E6" s="7" t="b">
        <f>AND(NOT(ISNUMBER(MATCH(DATE($A$4,INT((COLUMN()-1)/31.001)+$A$3,ROUNDUP(MOD(COLUMN()-1,31.001),0)),Feriados,0))),(VLOOKUP(VLOOKUP(WEEKDAY(DATE($A$4,INT((COLUMN()-1)/31.001)+$A$3,ROUNDUP(MOD(COLUMN()-1,31.001),0)),2),Auxiliar!$D$1:$E$7,2,0),'Feriados y días laborables'!$D$3:$E$9,2,0)="Si"))</f>
        <v>1</v>
      </c>
      <c r="F6" s="7" t="b">
        <f>AND(NOT(ISNUMBER(MATCH(DATE($A$4,INT((COLUMN()-1)/31.001)+$A$3,ROUNDUP(MOD(COLUMN()-1,31.001),0)),Feriados,0))),(VLOOKUP(VLOOKUP(WEEKDAY(DATE($A$4,INT((COLUMN()-1)/31.001)+$A$3,ROUNDUP(MOD(COLUMN()-1,31.001),0)),2),Auxiliar!$D$1:$E$7,2,0),'Feriados y días laborables'!$D$3:$E$9,2,0)="Si"))</f>
        <v>1</v>
      </c>
      <c r="G6" s="7" t="b">
        <f>AND(NOT(ISNUMBER(MATCH(DATE($A$4,INT((COLUMN()-1)/31.001)+$A$3,ROUNDUP(MOD(COLUMN()-1,31.001),0)),Feriados,0))),(VLOOKUP(VLOOKUP(WEEKDAY(DATE($A$4,INT((COLUMN()-1)/31.001)+$A$3,ROUNDUP(MOD(COLUMN()-1,31.001),0)),2),Auxiliar!$D$1:$E$7,2,0),'Feriados y días laborables'!$D$3:$E$9,2,0)="Si"))</f>
        <v>1</v>
      </c>
      <c r="H6" s="7" t="b">
        <f>AND(NOT(ISNUMBER(MATCH(DATE($A$4,INT((COLUMN()-1)/31.001)+$A$3,ROUNDUP(MOD(COLUMN()-1,31.001),0)),Feriados,0))),(VLOOKUP(VLOOKUP(WEEKDAY(DATE($A$4,INT((COLUMN()-1)/31.001)+$A$3,ROUNDUP(MOD(COLUMN()-1,31.001),0)),2),Auxiliar!$D$1:$E$7,2,0),'Feriados y días laborables'!$D$3:$E$9,2,0)="Si"))</f>
        <v>1</v>
      </c>
      <c r="I6" s="7" t="b">
        <f>AND(NOT(ISNUMBER(MATCH(DATE($A$4,INT((COLUMN()-1)/31.001)+$A$3,ROUNDUP(MOD(COLUMN()-1,31.001),0)),Feriados,0))),(VLOOKUP(VLOOKUP(WEEKDAY(DATE($A$4,INT((COLUMN()-1)/31.001)+$A$3,ROUNDUP(MOD(COLUMN()-1,31.001),0)),2),Auxiliar!$D$1:$E$7,2,0),'Feriados y días laborables'!$D$3:$E$9,2,0)="Si"))</f>
        <v>1</v>
      </c>
      <c r="J6" s="7" t="b">
        <f>AND(NOT(ISNUMBER(MATCH(DATE($A$4,INT((COLUMN()-1)/31.001)+$A$3,ROUNDUP(MOD(COLUMN()-1,31.001),0)),Feriados,0))),(VLOOKUP(VLOOKUP(WEEKDAY(DATE($A$4,INT((COLUMN()-1)/31.001)+$A$3,ROUNDUP(MOD(COLUMN()-1,31.001),0)),2),Auxiliar!$D$1:$E$7,2,0),'Feriados y días laborables'!$D$3:$E$9,2,0)="Si"))</f>
        <v>1</v>
      </c>
      <c r="K6" s="7" t="b">
        <f>AND(NOT(ISNUMBER(MATCH(DATE($A$4,INT((COLUMN()-1)/31.001)+$A$3,ROUNDUP(MOD(COLUMN()-1,31.001),0)),Feriados,0))),(VLOOKUP(VLOOKUP(WEEKDAY(DATE($A$4,INT((COLUMN()-1)/31.001)+$A$3,ROUNDUP(MOD(COLUMN()-1,31.001),0)),2),Auxiliar!$D$1:$E$7,2,0),'Feriados y días laborables'!$D$3:$E$9,2,0)="Si"))</f>
        <v>1</v>
      </c>
      <c r="L6" s="7" t="b">
        <f>AND(NOT(ISNUMBER(MATCH(DATE($A$4,INT((COLUMN()-1)/31.001)+$A$3,ROUNDUP(MOD(COLUMN()-1,31.001),0)),Feriados,0))),(VLOOKUP(VLOOKUP(WEEKDAY(DATE($A$4,INT((COLUMN()-1)/31.001)+$A$3,ROUNDUP(MOD(COLUMN()-1,31.001),0)),2),Auxiliar!$D$1:$E$7,2,0),'Feriados y días laborables'!$D$3:$E$9,2,0)="Si"))</f>
        <v>1</v>
      </c>
      <c r="M6" s="7" t="b">
        <f>AND(NOT(ISNUMBER(MATCH(DATE($A$4,INT((COLUMN()-1)/31.001)+$A$3,ROUNDUP(MOD(COLUMN()-1,31.001),0)),Feriados,0))),(VLOOKUP(VLOOKUP(WEEKDAY(DATE($A$4,INT((COLUMN()-1)/31.001)+$A$3,ROUNDUP(MOD(COLUMN()-1,31.001),0)),2),Auxiliar!$D$1:$E$7,2,0),'Feriados y días laborables'!$D$3:$E$9,2,0)="Si"))</f>
        <v>1</v>
      </c>
      <c r="N6" s="7" t="b">
        <f>AND(NOT(ISNUMBER(MATCH(DATE($A$4,INT((COLUMN()-1)/31.001)+$A$3,ROUNDUP(MOD(COLUMN()-1,31.001),0)),Feriados,0))),(VLOOKUP(VLOOKUP(WEEKDAY(DATE($A$4,INT((COLUMN()-1)/31.001)+$A$3,ROUNDUP(MOD(COLUMN()-1,31.001),0)),2),Auxiliar!$D$1:$E$7,2,0),'Feriados y días laborables'!$D$3:$E$9,2,0)="Si"))</f>
        <v>1</v>
      </c>
      <c r="O6" s="7" t="b">
        <f>AND(NOT(ISNUMBER(MATCH(DATE($A$4,INT((COLUMN()-1)/31.001)+$A$3,ROUNDUP(MOD(COLUMN()-1,31.001),0)),Feriados,0))),(VLOOKUP(VLOOKUP(WEEKDAY(DATE($A$4,INT((COLUMN()-1)/31.001)+$A$3,ROUNDUP(MOD(COLUMN()-1,31.001),0)),2),Auxiliar!$D$1:$E$7,2,0),'Feriados y días laborables'!$D$3:$E$9,2,0)="Si"))</f>
        <v>1</v>
      </c>
      <c r="P6" s="7" t="b">
        <f>AND(NOT(ISNUMBER(MATCH(DATE($A$4,INT((COLUMN()-1)/31.001)+$A$3,ROUNDUP(MOD(COLUMN()-1,31.001),0)),Feriados,0))),(VLOOKUP(VLOOKUP(WEEKDAY(DATE($A$4,INT((COLUMN()-1)/31.001)+$A$3,ROUNDUP(MOD(COLUMN()-1,31.001),0)),2),Auxiliar!$D$1:$E$7,2,0),'Feriados y días laborables'!$D$3:$E$9,2,0)="Si"))</f>
        <v>1</v>
      </c>
      <c r="Q6" s="7" t="b">
        <f>AND(NOT(ISNUMBER(MATCH(DATE($A$4,INT((COLUMN()-1)/31.001)+$A$3,ROUNDUP(MOD(COLUMN()-1,31.001),0)),Feriados,0))),(VLOOKUP(VLOOKUP(WEEKDAY(DATE($A$4,INT((COLUMN()-1)/31.001)+$A$3,ROUNDUP(MOD(COLUMN()-1,31.001),0)),2),Auxiliar!$D$1:$E$7,2,0),'Feriados y días laborables'!$D$3:$E$9,2,0)="Si"))</f>
        <v>1</v>
      </c>
      <c r="R6" s="7" t="b">
        <f>AND(NOT(ISNUMBER(MATCH(DATE($A$4,INT((COLUMN()-1)/31.001)+$A$3,ROUNDUP(MOD(COLUMN()-1,31.001),0)),Feriados,0))),(VLOOKUP(VLOOKUP(WEEKDAY(DATE($A$4,INT((COLUMN()-1)/31.001)+$A$3,ROUNDUP(MOD(COLUMN()-1,31.001),0)),2),Auxiliar!$D$1:$E$7,2,0),'Feriados y días laborables'!$D$3:$E$9,2,0)="Si"))</f>
        <v>1</v>
      </c>
      <c r="S6" s="7" t="b">
        <f>AND(NOT(ISNUMBER(MATCH(DATE($A$4,INT((COLUMN()-1)/31.001)+$A$3,ROUNDUP(MOD(COLUMN()-1,31.001),0)),Feriados,0))),(VLOOKUP(VLOOKUP(WEEKDAY(DATE($A$4,INT((COLUMN()-1)/31.001)+$A$3,ROUNDUP(MOD(COLUMN()-1,31.001),0)),2),Auxiliar!$D$1:$E$7,2,0),'Feriados y días laborables'!$D$3:$E$9,2,0)="Si"))</f>
        <v>1</v>
      </c>
      <c r="T6" s="7" t="b">
        <f>AND(NOT(ISNUMBER(MATCH(DATE($A$4,INT((COLUMN()-1)/31.001)+$A$3,ROUNDUP(MOD(COLUMN()-1,31.001),0)),Feriados,0))),(VLOOKUP(VLOOKUP(WEEKDAY(DATE($A$4,INT((COLUMN()-1)/31.001)+$A$3,ROUNDUP(MOD(COLUMN()-1,31.001),0)),2),Auxiliar!$D$1:$E$7,2,0),'Feriados y días laborables'!$D$3:$E$9,2,0)="Si"))</f>
        <v>1</v>
      </c>
      <c r="U6" s="7" t="b">
        <f>AND(NOT(ISNUMBER(MATCH(DATE($A$4,INT((COLUMN()-1)/31.001)+$A$3,ROUNDUP(MOD(COLUMN()-1,31.001),0)),Feriados,0))),(VLOOKUP(VLOOKUP(WEEKDAY(DATE($A$4,INT((COLUMN()-1)/31.001)+$A$3,ROUNDUP(MOD(COLUMN()-1,31.001),0)),2),Auxiliar!$D$1:$E$7,2,0),'Feriados y días laborables'!$D$3:$E$9,2,0)="Si"))</f>
        <v>1</v>
      </c>
      <c r="V6" s="7" t="b">
        <f>AND(NOT(ISNUMBER(MATCH(DATE($A$4,INT((COLUMN()-1)/31.001)+$A$3,ROUNDUP(MOD(COLUMN()-1,31.001),0)),Feriados,0))),(VLOOKUP(VLOOKUP(WEEKDAY(DATE($A$4,INT((COLUMN()-1)/31.001)+$A$3,ROUNDUP(MOD(COLUMN()-1,31.001),0)),2),Auxiliar!$D$1:$E$7,2,0),'Feriados y días laborables'!$D$3:$E$9,2,0)="Si"))</f>
        <v>1</v>
      </c>
      <c r="W6" s="7" t="b">
        <f>AND(NOT(ISNUMBER(MATCH(DATE($A$4,INT((COLUMN()-1)/31.001)+$A$3,ROUNDUP(MOD(COLUMN()-1,31.001),0)),Feriados,0))),(VLOOKUP(VLOOKUP(WEEKDAY(DATE($A$4,INT((COLUMN()-1)/31.001)+$A$3,ROUNDUP(MOD(COLUMN()-1,31.001),0)),2),Auxiliar!$D$1:$E$7,2,0),'Feriados y días laborables'!$D$3:$E$9,2,0)="Si"))</f>
        <v>1</v>
      </c>
      <c r="X6" s="7" t="b">
        <f>AND(NOT(ISNUMBER(MATCH(DATE($A$4,INT((COLUMN()-1)/31.001)+$A$3,ROUNDUP(MOD(COLUMN()-1,31.001),0)),Feriados,0))),(VLOOKUP(VLOOKUP(WEEKDAY(DATE($A$4,INT((COLUMN()-1)/31.001)+$A$3,ROUNDUP(MOD(COLUMN()-1,31.001),0)),2),Auxiliar!$D$1:$E$7,2,0),'Feriados y días laborables'!$D$3:$E$9,2,0)="Si"))</f>
        <v>1</v>
      </c>
      <c r="Y6" s="7" t="b">
        <f>AND(NOT(ISNUMBER(MATCH(DATE($A$4,INT((COLUMN()-1)/31.001)+$A$3,ROUNDUP(MOD(COLUMN()-1,31.001),0)),Feriados,0))),(VLOOKUP(VLOOKUP(WEEKDAY(DATE($A$4,INT((COLUMN()-1)/31.001)+$A$3,ROUNDUP(MOD(COLUMN()-1,31.001),0)),2),Auxiliar!$D$1:$E$7,2,0),'Feriados y días laborables'!$D$3:$E$9,2,0)="Si"))</f>
        <v>1</v>
      </c>
      <c r="Z6" s="7" t="b">
        <f>AND(NOT(ISNUMBER(MATCH(DATE($A$4,INT((COLUMN()-1)/31.001)+$A$3,ROUNDUP(MOD(COLUMN()-1,31.001),0)),Feriados,0))),(VLOOKUP(VLOOKUP(WEEKDAY(DATE($A$4,INT((COLUMN()-1)/31.001)+$A$3,ROUNDUP(MOD(COLUMN()-1,31.001),0)),2),Auxiliar!$D$1:$E$7,2,0),'Feriados y días laborables'!$D$3:$E$9,2,0)="Si"))</f>
        <v>1</v>
      </c>
      <c r="AA6" s="7" t="b">
        <f>AND(NOT(ISNUMBER(MATCH(DATE($A$4,INT((COLUMN()-1)/31.001)+$A$3,ROUNDUP(MOD(COLUMN()-1,31.001),0)),Feriados,0))),(VLOOKUP(VLOOKUP(WEEKDAY(DATE($A$4,INT((COLUMN()-1)/31.001)+$A$3,ROUNDUP(MOD(COLUMN()-1,31.001),0)),2),Auxiliar!$D$1:$E$7,2,0),'Feriados y días laborables'!$D$3:$E$9,2,0)="Si"))</f>
        <v>1</v>
      </c>
      <c r="AB6" s="7" t="b">
        <f>AND(NOT(ISNUMBER(MATCH(DATE($A$4,INT((COLUMN()-1)/31.001)+$A$3,ROUNDUP(MOD(COLUMN()-1,31.001),0)),Feriados,0))),(VLOOKUP(VLOOKUP(WEEKDAY(DATE($A$4,INT((COLUMN()-1)/31.001)+$A$3,ROUNDUP(MOD(COLUMN()-1,31.001),0)),2),Auxiliar!$D$1:$E$7,2,0),'Feriados y días laborables'!$D$3:$E$9,2,0)="Si"))</f>
        <v>1</v>
      </c>
      <c r="AC6" s="7" t="b">
        <f>AND(NOT(ISNUMBER(MATCH(DATE($A$4,INT((COLUMN()-1)/31.001)+$A$3,ROUNDUP(MOD(COLUMN()-1,31.001),0)),Feriados,0))),(VLOOKUP(VLOOKUP(WEEKDAY(DATE($A$4,INT((COLUMN()-1)/31.001)+$A$3,ROUNDUP(MOD(COLUMN()-1,31.001),0)),2),Auxiliar!$D$1:$E$7,2,0),'Feriados y días laborables'!$D$3:$E$9,2,0)="Si"))</f>
        <v>1</v>
      </c>
      <c r="AD6" s="7" t="b">
        <f>AND(NOT(ISNUMBER(MATCH(DATE($A$4,INT((COLUMN()-1)/31.001)+$A$3,ROUNDUP(MOD(COLUMN()-1,31.001),0)),Feriados,0))),(VLOOKUP(VLOOKUP(WEEKDAY(DATE($A$4,INT((COLUMN()-1)/31.001)+$A$3,ROUNDUP(MOD(COLUMN()-1,31.001),0)),2),Auxiliar!$D$1:$E$7,2,0),'Feriados y días laborables'!$D$3:$E$9,2,0)="Si"))</f>
        <v>1</v>
      </c>
      <c r="AE6" s="7" t="b">
        <f>AND(NOT(ISNUMBER(MATCH(DATE($A$4,INT((COLUMN()-1)/31.001)+$A$3,ROUNDUP(MOD(COLUMN()-1,31.001),0)),Feriados,0))),(VLOOKUP(VLOOKUP(WEEKDAY(DATE($A$4,INT((COLUMN()-1)/31.001)+$A$3,ROUNDUP(MOD(COLUMN()-1,31.001),0)),2),Auxiliar!$D$1:$E$7,2,0),'Feriados y días laborables'!$D$3:$E$9,2,0)="Si"))</f>
        <v>1</v>
      </c>
      <c r="AF6" s="7" t="b">
        <f>AND(NOT(ISNUMBER(MATCH(DATE($A$4,INT((COLUMN()-1)/31.001)+$A$3,ROUNDUP(MOD(COLUMN()-1,31.001),0)),Feriados,0))),(VLOOKUP(VLOOKUP(WEEKDAY(DATE($A$4,INT((COLUMN()-1)/31.001)+$A$3,ROUNDUP(MOD(COLUMN()-1,31.001),0)),2),Auxiliar!$D$1:$E$7,2,0),'Feriados y días laborables'!$D$3:$E$9,2,0)="Si"))</f>
        <v>1</v>
      </c>
      <c r="AG6" s="7" t="b">
        <f>AND(NOT(ISNUMBER(MATCH(DATE($A$4,INT((COLUMN()-1)/31.001)+$A$3,ROUNDUP(MOD(COLUMN()-1,31.001),0)),Feriados,0))),(VLOOKUP(VLOOKUP(WEEKDAY(DATE($A$4,INT((COLUMN()-1)/31.001)+$A$3,ROUNDUP(MOD(COLUMN()-1,31.001),0)),2),Auxiliar!$D$1:$E$7,2,0),'Feriados y días laborables'!$D$3:$E$9,2,0)="Si"))</f>
        <v>1</v>
      </c>
      <c r="AH6" s="7" t="b">
        <f>AND(NOT(ISNUMBER(MATCH(DATE($A$4,INT((COLUMN()-1)/31.001)+$A$3,ROUNDUP(MOD(COLUMN()-1,31.001),0)),Feriados,0))),(VLOOKUP(VLOOKUP(WEEKDAY(DATE($A$4,INT((COLUMN()-1)/31.001)+$A$3,ROUNDUP(MOD(COLUMN()-1,31.001),0)),2),Auxiliar!$D$1:$E$7,2,0),'Feriados y días laborables'!$D$3:$E$9,2,0)="Si"))</f>
        <v>1</v>
      </c>
      <c r="AI6" s="7" t="b">
        <f>AND(NOT(ISNUMBER(MATCH(DATE($A$4,INT((COLUMN()-1)/31.001)+$A$3,ROUNDUP(MOD(COLUMN()-1,31.001),0)),Feriados,0))),(VLOOKUP(VLOOKUP(WEEKDAY(DATE($A$4,INT((COLUMN()-1)/31.001)+$A$3,ROUNDUP(MOD(COLUMN()-1,31.001),0)),2),Auxiliar!$D$1:$E$7,2,0),'Feriados y días laborables'!$D$3:$E$9,2,0)="Si"))</f>
        <v>1</v>
      </c>
      <c r="AJ6" s="7" t="b">
        <f>AND(NOT(ISNUMBER(MATCH(DATE($A$4,INT((COLUMN()-1)/31.001)+$A$3,ROUNDUP(MOD(COLUMN()-1,31.001),0)),Feriados,0))),(VLOOKUP(VLOOKUP(WEEKDAY(DATE($A$4,INT((COLUMN()-1)/31.001)+$A$3,ROUNDUP(MOD(COLUMN()-1,31.001),0)),2),Auxiliar!$D$1:$E$7,2,0),'Feriados y días laborables'!$D$3:$E$9,2,0)="Si"))</f>
        <v>1</v>
      </c>
      <c r="AK6" s="7" t="b">
        <f>AND(NOT(ISNUMBER(MATCH(DATE($A$4,INT((COLUMN()-1)/31.001)+$A$3,ROUNDUP(MOD(COLUMN()-1,31.001),0)),Feriados,0))),(VLOOKUP(VLOOKUP(WEEKDAY(DATE($A$4,INT((COLUMN()-1)/31.001)+$A$3,ROUNDUP(MOD(COLUMN()-1,31.001),0)),2),Auxiliar!$D$1:$E$7,2,0),'Feriados y días laborables'!$D$3:$E$9,2,0)="Si"))</f>
        <v>0</v>
      </c>
      <c r="AL6" s="7" t="b">
        <f>AND(NOT(ISNUMBER(MATCH(DATE($A$4,INT((COLUMN()-1)/31.001)+$A$3,ROUNDUP(MOD(COLUMN()-1,31.001),0)),Feriados,0))),(VLOOKUP(VLOOKUP(WEEKDAY(DATE($A$4,INT((COLUMN()-1)/31.001)+$A$3,ROUNDUP(MOD(COLUMN()-1,31.001),0)),2),Auxiliar!$D$1:$E$7,2,0),'Feriados y días laborables'!$D$3:$E$9,2,0)="Si"))</f>
        <v>1</v>
      </c>
      <c r="AM6" s="7" t="b">
        <f>AND(NOT(ISNUMBER(MATCH(DATE($A$4,INT((COLUMN()-1)/31.001)+$A$3,ROUNDUP(MOD(COLUMN()-1,31.001),0)),Feriados,0))),(VLOOKUP(VLOOKUP(WEEKDAY(DATE($A$4,INT((COLUMN()-1)/31.001)+$A$3,ROUNDUP(MOD(COLUMN()-1,31.001),0)),2),Auxiliar!$D$1:$E$7,2,0),'Feriados y días laborables'!$D$3:$E$9,2,0)="Si"))</f>
        <v>1</v>
      </c>
      <c r="AN6" s="7" t="b">
        <f>AND(NOT(ISNUMBER(MATCH(DATE($A$4,INT((COLUMN()-1)/31.001)+$A$3,ROUNDUP(MOD(COLUMN()-1,31.001),0)),Feriados,0))),(VLOOKUP(VLOOKUP(WEEKDAY(DATE($A$4,INT((COLUMN()-1)/31.001)+$A$3,ROUNDUP(MOD(COLUMN()-1,31.001),0)),2),Auxiliar!$D$1:$E$7,2,0),'Feriados y días laborables'!$D$3:$E$9,2,0)="Si"))</f>
        <v>1</v>
      </c>
      <c r="AO6" s="7" t="b">
        <f>AND(NOT(ISNUMBER(MATCH(DATE($A$4,INT((COLUMN()-1)/31.001)+$A$3,ROUNDUP(MOD(COLUMN()-1,31.001),0)),Feriados,0))),(VLOOKUP(VLOOKUP(WEEKDAY(DATE($A$4,INT((COLUMN()-1)/31.001)+$A$3,ROUNDUP(MOD(COLUMN()-1,31.001),0)),2),Auxiliar!$D$1:$E$7,2,0),'Feriados y días laborables'!$D$3:$E$9,2,0)="Si"))</f>
        <v>1</v>
      </c>
      <c r="AP6" s="7" t="b">
        <f>AND(NOT(ISNUMBER(MATCH(DATE($A$4,INT((COLUMN()-1)/31.001)+$A$3,ROUNDUP(MOD(COLUMN()-1,31.001),0)),Feriados,0))),(VLOOKUP(VLOOKUP(WEEKDAY(DATE($A$4,INT((COLUMN()-1)/31.001)+$A$3,ROUNDUP(MOD(COLUMN()-1,31.001),0)),2),Auxiliar!$D$1:$E$7,2,0),'Feriados y días laborables'!$D$3:$E$9,2,0)="Si"))</f>
        <v>1</v>
      </c>
      <c r="AQ6" s="7" t="b">
        <f>AND(NOT(ISNUMBER(MATCH(DATE($A$4,INT((COLUMN()-1)/31.001)+$A$3,ROUNDUP(MOD(COLUMN()-1,31.001),0)),Feriados,0))),(VLOOKUP(VLOOKUP(WEEKDAY(DATE($A$4,INT((COLUMN()-1)/31.001)+$A$3,ROUNDUP(MOD(COLUMN()-1,31.001),0)),2),Auxiliar!$D$1:$E$7,2,0),'Feriados y días laborables'!$D$3:$E$9,2,0)="Si"))</f>
        <v>1</v>
      </c>
      <c r="AR6" s="7" t="b">
        <f>AND(NOT(ISNUMBER(MATCH(DATE($A$4,INT((COLUMN()-1)/31.001)+$A$3,ROUNDUP(MOD(COLUMN()-1,31.001),0)),Feriados,0))),(VLOOKUP(VLOOKUP(WEEKDAY(DATE($A$4,INT((COLUMN()-1)/31.001)+$A$3,ROUNDUP(MOD(COLUMN()-1,31.001),0)),2),Auxiliar!$D$1:$E$7,2,0),'Feriados y días laborables'!$D$3:$E$9,2,0)="Si"))</f>
        <v>1</v>
      </c>
      <c r="AS6" s="7" t="b">
        <f>AND(NOT(ISNUMBER(MATCH(DATE($A$4,INT((COLUMN()-1)/31.001)+$A$3,ROUNDUP(MOD(COLUMN()-1,31.001),0)),Feriados,0))),(VLOOKUP(VLOOKUP(WEEKDAY(DATE($A$4,INT((COLUMN()-1)/31.001)+$A$3,ROUNDUP(MOD(COLUMN()-1,31.001),0)),2),Auxiliar!$D$1:$E$7,2,0),'Feriados y días laborables'!$D$3:$E$9,2,0)="Si"))</f>
        <v>1</v>
      </c>
      <c r="AT6" s="7" t="b">
        <f>AND(NOT(ISNUMBER(MATCH(DATE($A$4,INT((COLUMN()-1)/31.001)+$A$3,ROUNDUP(MOD(COLUMN()-1,31.001),0)),Feriados,0))),(VLOOKUP(VLOOKUP(WEEKDAY(DATE($A$4,INT((COLUMN()-1)/31.001)+$A$3,ROUNDUP(MOD(COLUMN()-1,31.001),0)),2),Auxiliar!$D$1:$E$7,2,0),'Feriados y días laborables'!$D$3:$E$9,2,0)="Si"))</f>
        <v>1</v>
      </c>
      <c r="AU6" s="7" t="b">
        <f>AND(NOT(ISNUMBER(MATCH(DATE($A$4,INT((COLUMN()-1)/31.001)+$A$3,ROUNDUP(MOD(COLUMN()-1,31.001),0)),Feriados,0))),(VLOOKUP(VLOOKUP(WEEKDAY(DATE($A$4,INT((COLUMN()-1)/31.001)+$A$3,ROUNDUP(MOD(COLUMN()-1,31.001),0)),2),Auxiliar!$D$1:$E$7,2,0),'Feriados y días laborables'!$D$3:$E$9,2,0)="Si"))</f>
        <v>1</v>
      </c>
      <c r="AV6" s="7" t="b">
        <f>AND(NOT(ISNUMBER(MATCH(DATE($A$4,INT((COLUMN()-1)/31.001)+$A$3,ROUNDUP(MOD(COLUMN()-1,31.001),0)),Feriados,0))),(VLOOKUP(VLOOKUP(WEEKDAY(DATE($A$4,INT((COLUMN()-1)/31.001)+$A$3,ROUNDUP(MOD(COLUMN()-1,31.001),0)),2),Auxiliar!$D$1:$E$7,2,0),'Feriados y días laborables'!$D$3:$E$9,2,0)="Si"))</f>
        <v>1</v>
      </c>
      <c r="AW6" s="7" t="b">
        <f>AND(NOT(ISNUMBER(MATCH(DATE($A$4,INT((COLUMN()-1)/31.001)+$A$3,ROUNDUP(MOD(COLUMN()-1,31.001),0)),Feriados,0))),(VLOOKUP(VLOOKUP(WEEKDAY(DATE($A$4,INT((COLUMN()-1)/31.001)+$A$3,ROUNDUP(MOD(COLUMN()-1,31.001),0)),2),Auxiliar!$D$1:$E$7,2,0),'Feriados y días laborables'!$D$3:$E$9,2,0)="Si"))</f>
        <v>1</v>
      </c>
      <c r="AX6" s="7" t="b">
        <f>AND(NOT(ISNUMBER(MATCH(DATE($A$4,INT((COLUMN()-1)/31.001)+$A$3,ROUNDUP(MOD(COLUMN()-1,31.001),0)),Feriados,0))),(VLOOKUP(VLOOKUP(WEEKDAY(DATE($A$4,INT((COLUMN()-1)/31.001)+$A$3,ROUNDUP(MOD(COLUMN()-1,31.001),0)),2),Auxiliar!$D$1:$E$7,2,0),'Feriados y días laborables'!$D$3:$E$9,2,0)="Si"))</f>
        <v>1</v>
      </c>
      <c r="AY6" s="7" t="b">
        <f>AND(NOT(ISNUMBER(MATCH(DATE($A$4,INT((COLUMN()-1)/31.001)+$A$3,ROUNDUP(MOD(COLUMN()-1,31.001),0)),Feriados,0))),(VLOOKUP(VLOOKUP(WEEKDAY(DATE($A$4,INT((COLUMN()-1)/31.001)+$A$3,ROUNDUP(MOD(COLUMN()-1,31.001),0)),2),Auxiliar!$D$1:$E$7,2,0),'Feriados y días laborables'!$D$3:$E$9,2,0)="Si"))</f>
        <v>1</v>
      </c>
      <c r="AZ6" s="7" t="b">
        <f>AND(NOT(ISNUMBER(MATCH(DATE($A$4,INT((COLUMN()-1)/31.001)+$A$3,ROUNDUP(MOD(COLUMN()-1,31.001),0)),Feriados,0))),(VLOOKUP(VLOOKUP(WEEKDAY(DATE($A$4,INT((COLUMN()-1)/31.001)+$A$3,ROUNDUP(MOD(COLUMN()-1,31.001),0)),2),Auxiliar!$D$1:$E$7,2,0),'Feriados y días laborables'!$D$3:$E$9,2,0)="Si"))</f>
        <v>1</v>
      </c>
      <c r="BA6" s="7" t="b">
        <f>AND(NOT(ISNUMBER(MATCH(DATE($A$4,INT((COLUMN()-1)/31.001)+$A$3,ROUNDUP(MOD(COLUMN()-1,31.001),0)),Feriados,0))),(VLOOKUP(VLOOKUP(WEEKDAY(DATE($A$4,INT((COLUMN()-1)/31.001)+$A$3,ROUNDUP(MOD(COLUMN()-1,31.001),0)),2),Auxiliar!$D$1:$E$7,2,0),'Feriados y días laborables'!$D$3:$E$9,2,0)="Si"))</f>
        <v>1</v>
      </c>
      <c r="BB6" s="7" t="b">
        <f>AND(NOT(ISNUMBER(MATCH(DATE($A$4,INT((COLUMN()-1)/31.001)+$A$3,ROUNDUP(MOD(COLUMN()-1,31.001),0)),Feriados,0))),(VLOOKUP(VLOOKUP(WEEKDAY(DATE($A$4,INT((COLUMN()-1)/31.001)+$A$3,ROUNDUP(MOD(COLUMN()-1,31.001),0)),2),Auxiliar!$D$1:$E$7,2,0),'Feriados y días laborables'!$D$3:$E$9,2,0)="Si"))</f>
        <v>1</v>
      </c>
      <c r="BC6" s="7" t="b">
        <f>AND(NOT(ISNUMBER(MATCH(DATE($A$4,INT((COLUMN()-1)/31.001)+$A$3,ROUNDUP(MOD(COLUMN()-1,31.001),0)),Feriados,0))),(VLOOKUP(VLOOKUP(WEEKDAY(DATE($A$4,INT((COLUMN()-1)/31.001)+$A$3,ROUNDUP(MOD(COLUMN()-1,31.001),0)),2),Auxiliar!$D$1:$E$7,2,0),'Feriados y días laborables'!$D$3:$E$9,2,0)="Si"))</f>
        <v>1</v>
      </c>
      <c r="BD6" s="7" t="b">
        <f>AND(NOT(ISNUMBER(MATCH(DATE($A$4,INT((COLUMN()-1)/31.001)+$A$3,ROUNDUP(MOD(COLUMN()-1,31.001),0)),Feriados,0))),(VLOOKUP(VLOOKUP(WEEKDAY(DATE($A$4,INT((COLUMN()-1)/31.001)+$A$3,ROUNDUP(MOD(COLUMN()-1,31.001),0)),2),Auxiliar!$D$1:$E$7,2,0),'Feriados y días laborables'!$D$3:$E$9,2,0)="Si"))</f>
        <v>1</v>
      </c>
      <c r="BE6" s="7" t="b">
        <f>AND(NOT(ISNUMBER(MATCH(DATE($A$4,INT((COLUMN()-1)/31.001)+$A$3,ROUNDUP(MOD(COLUMN()-1,31.001),0)),Feriados,0))),(VLOOKUP(VLOOKUP(WEEKDAY(DATE($A$4,INT((COLUMN()-1)/31.001)+$A$3,ROUNDUP(MOD(COLUMN()-1,31.001),0)),2),Auxiliar!$D$1:$E$7,2,0),'Feriados y días laborables'!$D$3:$E$9,2,0)="Si"))</f>
        <v>1</v>
      </c>
      <c r="BF6" s="7" t="b">
        <f>AND(NOT(ISNUMBER(MATCH(DATE($A$4,INT((COLUMN()-1)/31.001)+$A$3,ROUNDUP(MOD(COLUMN()-1,31.001),0)),Feriados,0))),(VLOOKUP(VLOOKUP(WEEKDAY(DATE($A$4,INT((COLUMN()-1)/31.001)+$A$3,ROUNDUP(MOD(COLUMN()-1,31.001),0)),2),Auxiliar!$D$1:$E$7,2,0),'Feriados y días laborables'!$D$3:$E$9,2,0)="Si"))</f>
        <v>1</v>
      </c>
      <c r="BG6" s="7" t="b">
        <f>AND(NOT(ISNUMBER(MATCH(DATE($A$4,INT((COLUMN()-1)/31.001)+$A$3,ROUNDUP(MOD(COLUMN()-1,31.001),0)),Feriados,0))),(VLOOKUP(VLOOKUP(WEEKDAY(DATE($A$4,INT((COLUMN()-1)/31.001)+$A$3,ROUNDUP(MOD(COLUMN()-1,31.001),0)),2),Auxiliar!$D$1:$E$7,2,0),'Feriados y días laborables'!$D$3:$E$9,2,0)="Si"))</f>
        <v>1</v>
      </c>
      <c r="BH6" s="7" t="b">
        <f>AND(NOT(ISNUMBER(MATCH(DATE($A$4,INT((COLUMN()-1)/31.001)+$A$3,ROUNDUP(MOD(COLUMN()-1,31.001),0)),Feriados,0))),(VLOOKUP(VLOOKUP(WEEKDAY(DATE($A$4,INT((COLUMN()-1)/31.001)+$A$3,ROUNDUP(MOD(COLUMN()-1,31.001),0)),2),Auxiliar!$D$1:$E$7,2,0),'Feriados y días laborables'!$D$3:$E$9,2,0)="Si"))</f>
        <v>1</v>
      </c>
      <c r="BI6" s="7" t="b">
        <f>AND(NOT(ISNUMBER(MATCH(DATE($A$4,INT((COLUMN()-1)/31.001)+$A$3,ROUNDUP(MOD(COLUMN()-1,31.001),0)),Feriados,0))),(VLOOKUP(VLOOKUP(WEEKDAY(DATE($A$4,INT((COLUMN()-1)/31.001)+$A$3,ROUNDUP(MOD(COLUMN()-1,31.001),0)),2),Auxiliar!$D$1:$E$7,2,0),'Feriados y días laborables'!$D$3:$E$9,2,0)="Si"))</f>
        <v>1</v>
      </c>
      <c r="BJ6" s="7" t="b">
        <f>AND(NOT(ISNUMBER(MATCH(DATE($A$4,INT((COLUMN()-1)/31.001)+$A$3,ROUNDUP(MOD(COLUMN()-1,31.001),0)),Feriados,0))),(VLOOKUP(VLOOKUP(WEEKDAY(DATE($A$4,INT((COLUMN()-1)/31.001)+$A$3,ROUNDUP(MOD(COLUMN()-1,31.001),0)),2),Auxiliar!$D$1:$E$7,2,0),'Feriados y días laborables'!$D$3:$E$9,2,0)="Si"))</f>
        <v>1</v>
      </c>
      <c r="BK6" s="7" t="b">
        <f>AND(NOT(ISNUMBER(MATCH(DATE($A$4,INT((COLUMN()-1)/31.001)+$A$3,ROUNDUP(MOD(COLUMN()-1,31.001),0)),Feriados,0))),(VLOOKUP(VLOOKUP(WEEKDAY(DATE($A$4,INT((COLUMN()-1)/31.001)+$A$3,ROUNDUP(MOD(COLUMN()-1,31.001),0)),2),Auxiliar!$D$1:$E$7,2,0),'Feriados y días laborables'!$D$3:$E$9,2,0)="Si"))</f>
        <v>1</v>
      </c>
      <c r="BL6" s="7" t="b">
        <f>AND(NOT(ISNUMBER(MATCH(DATE($A$4,INT((COLUMN()-1)/31.001)+$A$3,ROUNDUP(MOD(COLUMN()-1,31.001),0)),Feriados,0))),(VLOOKUP(VLOOKUP(WEEKDAY(DATE($A$4,INT((COLUMN()-1)/31.001)+$A$3,ROUNDUP(MOD(COLUMN()-1,31.001),0)),2),Auxiliar!$D$1:$E$7,2,0),'Feriados y días laborables'!$D$3:$E$9,2,0)="Si"))</f>
        <v>1</v>
      </c>
      <c r="BM6" s="7" t="b">
        <f>AND(NOT(ISNUMBER(MATCH(DATE($A$4,INT((COLUMN()-1)/31.001)+$A$3,ROUNDUP(MOD(COLUMN()-1,31.001),0)),Feriados,0))),(VLOOKUP(VLOOKUP(WEEKDAY(DATE($A$4,INT((COLUMN()-1)/31.001)+$A$3,ROUNDUP(MOD(COLUMN()-1,31.001),0)),2),Auxiliar!$D$1:$E$7,2,0),'Feriados y días laborables'!$D$3:$E$9,2,0)="Si"))</f>
        <v>1</v>
      </c>
      <c r="BN6" s="7" t="b">
        <f>AND(NOT(ISNUMBER(MATCH(DATE($A$4,INT((COLUMN()-1)/31.001)+$A$3,ROUNDUP(MOD(COLUMN()-1,31.001),0)),Feriados,0))),(VLOOKUP(VLOOKUP(WEEKDAY(DATE($A$4,INT((COLUMN()-1)/31.001)+$A$3,ROUNDUP(MOD(COLUMN()-1,31.001),0)),2),Auxiliar!$D$1:$E$7,2,0),'Feriados y días laborables'!$D$3:$E$9,2,0)="Si"))</f>
        <v>1</v>
      </c>
      <c r="BO6" s="7" t="b">
        <f>AND(NOT(ISNUMBER(MATCH(DATE($A$4,INT((COLUMN()-1)/31.001)+$A$3,ROUNDUP(MOD(COLUMN()-1,31.001),0)),Feriados,0))),(VLOOKUP(VLOOKUP(WEEKDAY(DATE($A$4,INT((COLUMN()-1)/31.001)+$A$3,ROUNDUP(MOD(COLUMN()-1,31.001),0)),2),Auxiliar!$D$1:$E$7,2,0),'Feriados y días laborables'!$D$3:$E$9,2,0)="Si"))</f>
        <v>1</v>
      </c>
      <c r="BP6" s="7" t="b">
        <f>AND(NOT(ISNUMBER(MATCH(DATE($A$4,INT((COLUMN()-1)/31.001)+$A$3,ROUNDUP(MOD(COLUMN()-1,31.001),0)),Feriados,0))),(VLOOKUP(VLOOKUP(WEEKDAY(DATE($A$4,INT((COLUMN()-1)/31.001)+$A$3,ROUNDUP(MOD(COLUMN()-1,31.001),0)),2),Auxiliar!$D$1:$E$7,2,0),'Feriados y días laborables'!$D$3:$E$9,2,0)="Si"))</f>
        <v>1</v>
      </c>
      <c r="BQ6" s="7" t="b">
        <f>AND(NOT(ISNUMBER(MATCH(DATE($A$4,INT((COLUMN()-1)/31.001)+$A$3,ROUNDUP(MOD(COLUMN()-1,31.001),0)),Feriados,0))),(VLOOKUP(VLOOKUP(WEEKDAY(DATE($A$4,INT((COLUMN()-1)/31.001)+$A$3,ROUNDUP(MOD(COLUMN()-1,31.001),0)),2),Auxiliar!$D$1:$E$7,2,0),'Feriados y días laborables'!$D$3:$E$9,2,0)="Si"))</f>
        <v>1</v>
      </c>
      <c r="BR6" s="7" t="b">
        <f>AND(NOT(ISNUMBER(MATCH(DATE($A$4,INT((COLUMN()-1)/31.001)+$A$3,ROUNDUP(MOD(COLUMN()-1,31.001),0)),Feriados,0))),(VLOOKUP(VLOOKUP(WEEKDAY(DATE($A$4,INT((COLUMN()-1)/31.001)+$A$3,ROUNDUP(MOD(COLUMN()-1,31.001),0)),2),Auxiliar!$D$1:$E$7,2,0),'Feriados y días laborables'!$D$3:$E$9,2,0)="Si"))</f>
        <v>1</v>
      </c>
      <c r="BS6" s="7" t="b">
        <f>AND(NOT(ISNUMBER(MATCH(DATE($A$4,INT((COLUMN()-1)/31.001)+$A$3,ROUNDUP(MOD(COLUMN()-1,31.001),0)),Feriados,0))),(VLOOKUP(VLOOKUP(WEEKDAY(DATE($A$4,INT((COLUMN()-1)/31.001)+$A$3,ROUNDUP(MOD(COLUMN()-1,31.001),0)),2),Auxiliar!$D$1:$E$7,2,0),'Feriados y días laborables'!$D$3:$E$9,2,0)="Si"))</f>
        <v>1</v>
      </c>
      <c r="BT6" s="7" t="b">
        <f>AND(NOT(ISNUMBER(MATCH(DATE($A$4,INT((COLUMN()-1)/31.001)+$A$3,ROUNDUP(MOD(COLUMN()-1,31.001),0)),Feriados,0))),(VLOOKUP(VLOOKUP(WEEKDAY(DATE($A$4,INT((COLUMN()-1)/31.001)+$A$3,ROUNDUP(MOD(COLUMN()-1,31.001),0)),2),Auxiliar!$D$1:$E$7,2,0),'Feriados y días laborables'!$D$3:$E$9,2,0)="Si"))</f>
        <v>1</v>
      </c>
      <c r="BU6" s="7" t="b">
        <f>AND(NOT(ISNUMBER(MATCH(DATE($A$4,INT((COLUMN()-1)/31.001)+$A$3,ROUNDUP(MOD(COLUMN()-1,31.001),0)),Feriados,0))),(VLOOKUP(VLOOKUP(WEEKDAY(DATE($A$4,INT((COLUMN()-1)/31.001)+$A$3,ROUNDUP(MOD(COLUMN()-1,31.001),0)),2),Auxiliar!$D$1:$E$7,2,0),'Feriados y días laborables'!$D$3:$E$9,2,0)="Si"))</f>
        <v>1</v>
      </c>
      <c r="BV6" s="7" t="b">
        <f>AND(NOT(ISNUMBER(MATCH(DATE($A$4,INT((COLUMN()-1)/31.001)+$A$3,ROUNDUP(MOD(COLUMN()-1,31.001),0)),Feriados,0))),(VLOOKUP(VLOOKUP(WEEKDAY(DATE($A$4,INT((COLUMN()-1)/31.001)+$A$3,ROUNDUP(MOD(COLUMN()-1,31.001),0)),2),Auxiliar!$D$1:$E$7,2,0),'Feriados y días laborables'!$D$3:$E$9,2,0)="Si"))</f>
        <v>1</v>
      </c>
      <c r="BW6" s="7" t="b">
        <f>AND(NOT(ISNUMBER(MATCH(DATE($A$4,INT((COLUMN()-1)/31.001)+$A$3,ROUNDUP(MOD(COLUMN()-1,31.001),0)),Feriados,0))),(VLOOKUP(VLOOKUP(WEEKDAY(DATE($A$4,INT((COLUMN()-1)/31.001)+$A$3,ROUNDUP(MOD(COLUMN()-1,31.001),0)),2),Auxiliar!$D$1:$E$7,2,0),'Feriados y días laborables'!$D$3:$E$9,2,0)="Si"))</f>
        <v>1</v>
      </c>
      <c r="BX6" s="7" t="b">
        <f>AND(NOT(ISNUMBER(MATCH(DATE($A$4,INT((COLUMN()-1)/31.001)+$A$3,ROUNDUP(MOD(COLUMN()-1,31.001),0)),Feriados,0))),(VLOOKUP(VLOOKUP(WEEKDAY(DATE($A$4,INT((COLUMN()-1)/31.001)+$A$3,ROUNDUP(MOD(COLUMN()-1,31.001),0)),2),Auxiliar!$D$1:$E$7,2,0),'Feriados y días laborables'!$D$3:$E$9,2,0)="Si"))</f>
        <v>1</v>
      </c>
      <c r="BY6" s="7" t="b">
        <f>AND(NOT(ISNUMBER(MATCH(DATE($A$4,INT((COLUMN()-1)/31.001)+$A$3,ROUNDUP(MOD(COLUMN()-1,31.001),0)),Feriados,0))),(VLOOKUP(VLOOKUP(WEEKDAY(DATE($A$4,INT((COLUMN()-1)/31.001)+$A$3,ROUNDUP(MOD(COLUMN()-1,31.001),0)),2),Auxiliar!$D$1:$E$7,2,0),'Feriados y días laborables'!$D$3:$E$9,2,0)="Si"))</f>
        <v>1</v>
      </c>
      <c r="BZ6" s="7" t="b">
        <f>AND(NOT(ISNUMBER(MATCH(DATE($A$4,INT((COLUMN()-1)/31.001)+$A$3,ROUNDUP(MOD(COLUMN()-1,31.001),0)),Feriados,0))),(VLOOKUP(VLOOKUP(WEEKDAY(DATE($A$4,INT((COLUMN()-1)/31.001)+$A$3,ROUNDUP(MOD(COLUMN()-1,31.001),0)),2),Auxiliar!$D$1:$E$7,2,0),'Feriados y días laborables'!$D$3:$E$9,2,0)="Si"))</f>
        <v>1</v>
      </c>
      <c r="CA6" s="7" t="b">
        <f>AND(NOT(ISNUMBER(MATCH(DATE($A$4,INT((COLUMN()-1)/31.001)+$A$3,ROUNDUP(MOD(COLUMN()-1,31.001),0)),Feriados,0))),(VLOOKUP(VLOOKUP(WEEKDAY(DATE($A$4,INT((COLUMN()-1)/31.001)+$A$3,ROUNDUP(MOD(COLUMN()-1,31.001),0)),2),Auxiliar!$D$1:$E$7,2,0),'Feriados y días laborables'!$D$3:$E$9,2,0)="Si"))</f>
        <v>1</v>
      </c>
      <c r="CB6" s="7" t="b">
        <f>AND(NOT(ISNUMBER(MATCH(DATE($A$4,INT((COLUMN()-1)/31.001)+$A$3,ROUNDUP(MOD(COLUMN()-1,31.001),0)),Feriados,0))),(VLOOKUP(VLOOKUP(WEEKDAY(DATE($A$4,INT((COLUMN()-1)/31.001)+$A$3,ROUNDUP(MOD(COLUMN()-1,31.001),0)),2),Auxiliar!$D$1:$E$7,2,0),'Feriados y días laborables'!$D$3:$E$9,2,0)="Si"))</f>
        <v>1</v>
      </c>
      <c r="CC6" s="7" t="b">
        <f>AND(NOT(ISNUMBER(MATCH(DATE($A$4,INT((COLUMN()-1)/31.001)+$A$3,ROUNDUP(MOD(COLUMN()-1,31.001),0)),Feriados,0))),(VLOOKUP(VLOOKUP(WEEKDAY(DATE($A$4,INT((COLUMN()-1)/31.001)+$A$3,ROUNDUP(MOD(COLUMN()-1,31.001),0)),2),Auxiliar!$D$1:$E$7,2,0),'Feriados y días laborables'!$D$3:$E$9,2,0)="Si"))</f>
        <v>0</v>
      </c>
      <c r="CD6" s="7" t="b">
        <f>AND(NOT(ISNUMBER(MATCH(DATE($A$4,INT((COLUMN()-1)/31.001)+$A$3,ROUNDUP(MOD(COLUMN()-1,31.001),0)),Feriados,0))),(VLOOKUP(VLOOKUP(WEEKDAY(DATE($A$4,INT((COLUMN()-1)/31.001)+$A$3,ROUNDUP(MOD(COLUMN()-1,31.001),0)),2),Auxiliar!$D$1:$E$7,2,0),'Feriados y días laborables'!$D$3:$E$9,2,0)="Si"))</f>
        <v>1</v>
      </c>
      <c r="CE6" s="7" t="b">
        <f>AND(NOT(ISNUMBER(MATCH(DATE($A$4,INT((COLUMN()-1)/31.001)+$A$3,ROUNDUP(MOD(COLUMN()-1,31.001),0)),Feriados,0))),(VLOOKUP(VLOOKUP(WEEKDAY(DATE($A$4,INT((COLUMN()-1)/31.001)+$A$3,ROUNDUP(MOD(COLUMN()-1,31.001),0)),2),Auxiliar!$D$1:$E$7,2,0),'Feriados y días laborables'!$D$3:$E$9,2,0)="Si"))</f>
        <v>1</v>
      </c>
      <c r="CF6" s="7" t="b">
        <f>AND(NOT(ISNUMBER(MATCH(DATE($A$4,INT((COLUMN()-1)/31.001)+$A$3,ROUNDUP(MOD(COLUMN()-1,31.001),0)),Feriados,0))),(VLOOKUP(VLOOKUP(WEEKDAY(DATE($A$4,INT((COLUMN()-1)/31.001)+$A$3,ROUNDUP(MOD(COLUMN()-1,31.001),0)),2),Auxiliar!$D$1:$E$7,2,0),'Feriados y días laborables'!$D$3:$E$9,2,0)="Si"))</f>
        <v>1</v>
      </c>
      <c r="CG6" s="7" t="b">
        <f>AND(NOT(ISNUMBER(MATCH(DATE($A$4,INT((COLUMN()-1)/31.001)+$A$3,ROUNDUP(MOD(COLUMN()-1,31.001),0)),Feriados,0))),(VLOOKUP(VLOOKUP(WEEKDAY(DATE($A$4,INT((COLUMN()-1)/31.001)+$A$3,ROUNDUP(MOD(COLUMN()-1,31.001),0)),2),Auxiliar!$D$1:$E$7,2,0),'Feriados y días laborables'!$D$3:$E$9,2,0)="Si"))</f>
        <v>1</v>
      </c>
      <c r="CH6" s="7" t="b">
        <f>AND(NOT(ISNUMBER(MATCH(DATE($A$4,INT((COLUMN()-1)/31.001)+$A$3,ROUNDUP(MOD(COLUMN()-1,31.001),0)),Feriados,0))),(VLOOKUP(VLOOKUP(WEEKDAY(DATE($A$4,INT((COLUMN()-1)/31.001)+$A$3,ROUNDUP(MOD(COLUMN()-1,31.001),0)),2),Auxiliar!$D$1:$E$7,2,0),'Feriados y días laborables'!$D$3:$E$9,2,0)="Si"))</f>
        <v>1</v>
      </c>
      <c r="CI6" s="7" t="b">
        <f>AND(NOT(ISNUMBER(MATCH(DATE($A$4,INT((COLUMN()-1)/31.001)+$A$3,ROUNDUP(MOD(COLUMN()-1,31.001),0)),Feriados,0))),(VLOOKUP(VLOOKUP(WEEKDAY(DATE($A$4,INT((COLUMN()-1)/31.001)+$A$3,ROUNDUP(MOD(COLUMN()-1,31.001),0)),2),Auxiliar!$D$1:$E$7,2,0),'Feriados y días laborables'!$D$3:$E$9,2,0)="Si"))</f>
        <v>1</v>
      </c>
      <c r="CJ6" s="7" t="b">
        <f>AND(NOT(ISNUMBER(MATCH(DATE($A$4,INT((COLUMN()-1)/31.001)+$A$3,ROUNDUP(MOD(COLUMN()-1,31.001),0)),Feriados,0))),(VLOOKUP(VLOOKUP(WEEKDAY(DATE($A$4,INT((COLUMN()-1)/31.001)+$A$3,ROUNDUP(MOD(COLUMN()-1,31.001),0)),2),Auxiliar!$D$1:$E$7,2,0),'Feriados y días laborables'!$D$3:$E$9,2,0)="Si"))</f>
        <v>1</v>
      </c>
      <c r="CK6" s="7" t="b">
        <f>AND(NOT(ISNUMBER(MATCH(DATE($A$4,INT((COLUMN()-1)/31.001)+$A$3,ROUNDUP(MOD(COLUMN()-1,31.001),0)),Feriados,0))),(VLOOKUP(VLOOKUP(WEEKDAY(DATE($A$4,INT((COLUMN()-1)/31.001)+$A$3,ROUNDUP(MOD(COLUMN()-1,31.001),0)),2),Auxiliar!$D$1:$E$7,2,0),'Feriados y días laborables'!$D$3:$E$9,2,0)="Si"))</f>
        <v>1</v>
      </c>
      <c r="CL6" s="7" t="b">
        <f>AND(NOT(ISNUMBER(MATCH(DATE($A$4,INT((COLUMN()-1)/31.001)+$A$3,ROUNDUP(MOD(COLUMN()-1,31.001),0)),Feriados,0))),(VLOOKUP(VLOOKUP(WEEKDAY(DATE($A$4,INT((COLUMN()-1)/31.001)+$A$3,ROUNDUP(MOD(COLUMN()-1,31.001),0)),2),Auxiliar!$D$1:$E$7,2,0),'Feriados y días laborables'!$D$3:$E$9,2,0)="Si"))</f>
        <v>1</v>
      </c>
      <c r="CM6" s="7" t="b">
        <f>AND(NOT(ISNUMBER(MATCH(DATE($A$4,INT((COLUMN()-1)/31.001)+$A$3,ROUNDUP(MOD(COLUMN()-1,31.001),0)),Feriados,0))),(VLOOKUP(VLOOKUP(WEEKDAY(DATE($A$4,INT((COLUMN()-1)/31.001)+$A$3,ROUNDUP(MOD(COLUMN()-1,31.001),0)),2),Auxiliar!$D$1:$E$7,2,0),'Feriados y días laborables'!$D$3:$E$9,2,0)="Si"))</f>
        <v>1</v>
      </c>
      <c r="CN6" s="7" t="b">
        <f>AND(NOT(ISNUMBER(MATCH(DATE($A$4,INT((COLUMN()-1)/31.001)+$A$3,ROUNDUP(MOD(COLUMN()-1,31.001),0)),Feriados,0))),(VLOOKUP(VLOOKUP(WEEKDAY(DATE($A$4,INT((COLUMN()-1)/31.001)+$A$3,ROUNDUP(MOD(COLUMN()-1,31.001),0)),2),Auxiliar!$D$1:$E$7,2,0),'Feriados y días laborables'!$D$3:$E$9,2,0)="Si"))</f>
        <v>1</v>
      </c>
      <c r="CO6" s="7" t="b">
        <f>AND(NOT(ISNUMBER(MATCH(DATE($A$4,INT((COLUMN()-1)/31.001)+$A$3,ROUNDUP(MOD(COLUMN()-1,31.001),0)),Feriados,0))),(VLOOKUP(VLOOKUP(WEEKDAY(DATE($A$4,INT((COLUMN()-1)/31.001)+$A$3,ROUNDUP(MOD(COLUMN()-1,31.001),0)),2),Auxiliar!$D$1:$E$7,2,0),'Feriados y días laborables'!$D$3:$E$9,2,0)="Si"))</f>
        <v>1</v>
      </c>
      <c r="CP6" s="7" t="b">
        <f>AND(NOT(ISNUMBER(MATCH(DATE($A$4,INT((COLUMN()-1)/31.001)+$A$3,ROUNDUP(MOD(COLUMN()-1,31.001),0)),Feriados,0))),(VLOOKUP(VLOOKUP(WEEKDAY(DATE($A$4,INT((COLUMN()-1)/31.001)+$A$3,ROUNDUP(MOD(COLUMN()-1,31.001),0)),2),Auxiliar!$D$1:$E$7,2,0),'Feriados y días laborables'!$D$3:$E$9,2,0)="Si"))</f>
        <v>1</v>
      </c>
      <c r="CQ6" s="7" t="b">
        <f>AND(NOT(ISNUMBER(MATCH(DATE($A$4,INT((COLUMN()-1)/31.001)+$A$3,ROUNDUP(MOD(COLUMN()-1,31.001),0)),Feriados,0))),(VLOOKUP(VLOOKUP(WEEKDAY(DATE($A$4,INT((COLUMN()-1)/31.001)+$A$3,ROUNDUP(MOD(COLUMN()-1,31.001),0)),2),Auxiliar!$D$1:$E$7,2,0),'Feriados y días laborables'!$D$3:$E$9,2,0)="Si"))</f>
        <v>1</v>
      </c>
      <c r="CR6" s="7" t="b">
        <f>AND(NOT(ISNUMBER(MATCH(DATE($A$4,INT((COLUMN()-1)/31.001)+$A$3,ROUNDUP(MOD(COLUMN()-1,31.001),0)),Feriados,0))),(VLOOKUP(VLOOKUP(WEEKDAY(DATE($A$4,INT((COLUMN()-1)/31.001)+$A$3,ROUNDUP(MOD(COLUMN()-1,31.001),0)),2),Auxiliar!$D$1:$E$7,2,0),'Feriados y días laborables'!$D$3:$E$9,2,0)="Si"))</f>
        <v>1</v>
      </c>
      <c r="CS6" s="7" t="b">
        <f>AND(NOT(ISNUMBER(MATCH(DATE($A$4,INT((COLUMN()-1)/31.001)+$A$3,ROUNDUP(MOD(COLUMN()-1,31.001),0)),Feriados,0))),(VLOOKUP(VLOOKUP(WEEKDAY(DATE($A$4,INT((COLUMN()-1)/31.001)+$A$3,ROUNDUP(MOD(COLUMN()-1,31.001),0)),2),Auxiliar!$D$1:$E$7,2,0),'Feriados y días laborables'!$D$3:$E$9,2,0)="Si"))</f>
        <v>1</v>
      </c>
      <c r="CT6" s="7" t="b">
        <f>AND(NOT(ISNUMBER(MATCH(DATE($A$4,INT((COLUMN()-1)/31.001)+$A$3,ROUNDUP(MOD(COLUMN()-1,31.001),0)),Feriados,0))),(VLOOKUP(VLOOKUP(WEEKDAY(DATE($A$4,INT((COLUMN()-1)/31.001)+$A$3,ROUNDUP(MOD(COLUMN()-1,31.001),0)),2),Auxiliar!$D$1:$E$7,2,0),'Feriados y días laborables'!$D$3:$E$9,2,0)="Si"))</f>
        <v>1</v>
      </c>
      <c r="CU6" s="7" t="b">
        <f>AND(NOT(ISNUMBER(MATCH(DATE($A$4,INT((COLUMN()-1)/31.001)+$A$3,ROUNDUP(MOD(COLUMN()-1,31.001),0)),Feriados,0))),(VLOOKUP(VLOOKUP(WEEKDAY(DATE($A$4,INT((COLUMN()-1)/31.001)+$A$3,ROUNDUP(MOD(COLUMN()-1,31.001),0)),2),Auxiliar!$D$1:$E$7,2,0),'Feriados y días laborables'!$D$3:$E$9,2,0)="Si"))</f>
        <v>1</v>
      </c>
      <c r="CV6" s="7" t="b">
        <f>AND(NOT(ISNUMBER(MATCH(DATE($A$4,INT((COLUMN()-1)/31.001)+$A$3,ROUNDUP(MOD(COLUMN()-1,31.001),0)),Feriados,0))),(VLOOKUP(VLOOKUP(WEEKDAY(DATE($A$4,INT((COLUMN()-1)/31.001)+$A$3,ROUNDUP(MOD(COLUMN()-1,31.001),0)),2),Auxiliar!$D$1:$E$7,2,0),'Feriados y días laborables'!$D$3:$E$9,2,0)="Si"))</f>
        <v>1</v>
      </c>
      <c r="CW6" s="7" t="b">
        <f>AND(NOT(ISNUMBER(MATCH(DATE($A$4,INT((COLUMN()-1)/31.001)+$A$3,ROUNDUP(MOD(COLUMN()-1,31.001),0)),Feriados,0))),(VLOOKUP(VLOOKUP(WEEKDAY(DATE($A$4,INT((COLUMN()-1)/31.001)+$A$3,ROUNDUP(MOD(COLUMN()-1,31.001),0)),2),Auxiliar!$D$1:$E$7,2,0),'Feriados y días laborables'!$D$3:$E$9,2,0)="Si"))</f>
        <v>1</v>
      </c>
      <c r="CX6" s="7" t="b">
        <f>AND(NOT(ISNUMBER(MATCH(DATE($A$4,INT((COLUMN()-1)/31.001)+$A$3,ROUNDUP(MOD(COLUMN()-1,31.001),0)),Feriados,0))),(VLOOKUP(VLOOKUP(WEEKDAY(DATE($A$4,INT((COLUMN()-1)/31.001)+$A$3,ROUNDUP(MOD(COLUMN()-1,31.001),0)),2),Auxiliar!$D$1:$E$7,2,0),'Feriados y días laborables'!$D$3:$E$9,2,0)="Si"))</f>
        <v>1</v>
      </c>
      <c r="CY6" s="7" t="b">
        <f>AND(NOT(ISNUMBER(MATCH(DATE($A$4,INT((COLUMN()-1)/31.001)+$A$3,ROUNDUP(MOD(COLUMN()-1,31.001),0)),Feriados,0))),(VLOOKUP(VLOOKUP(WEEKDAY(DATE($A$4,INT((COLUMN()-1)/31.001)+$A$3,ROUNDUP(MOD(COLUMN()-1,31.001),0)),2),Auxiliar!$D$1:$E$7,2,0),'Feriados y días laborables'!$D$3:$E$9,2,0)="Si"))</f>
        <v>1</v>
      </c>
      <c r="CZ6" s="7" t="b">
        <f>AND(NOT(ISNUMBER(MATCH(DATE($A$4,INT((COLUMN()-1)/31.001)+$A$3,ROUNDUP(MOD(COLUMN()-1,31.001),0)),Feriados,0))),(VLOOKUP(VLOOKUP(WEEKDAY(DATE($A$4,INT((COLUMN()-1)/31.001)+$A$3,ROUNDUP(MOD(COLUMN()-1,31.001),0)),2),Auxiliar!$D$1:$E$7,2,0),'Feriados y días laborables'!$D$3:$E$9,2,0)="Si"))</f>
        <v>1</v>
      </c>
      <c r="DA6" s="7" t="b">
        <f>AND(NOT(ISNUMBER(MATCH(DATE($A$4,INT((COLUMN()-1)/31.001)+$A$3,ROUNDUP(MOD(COLUMN()-1,31.001),0)),Feriados,0))),(VLOOKUP(VLOOKUP(WEEKDAY(DATE($A$4,INT((COLUMN()-1)/31.001)+$A$3,ROUNDUP(MOD(COLUMN()-1,31.001),0)),2),Auxiliar!$D$1:$E$7,2,0),'Feriados y días laborables'!$D$3:$E$9,2,0)="Si"))</f>
        <v>1</v>
      </c>
      <c r="DB6" s="7" t="b">
        <f>AND(NOT(ISNUMBER(MATCH(DATE($A$4,INT((COLUMN()-1)/31.001)+$A$3,ROUNDUP(MOD(COLUMN()-1,31.001),0)),Feriados,0))),(VLOOKUP(VLOOKUP(WEEKDAY(DATE($A$4,INT((COLUMN()-1)/31.001)+$A$3,ROUNDUP(MOD(COLUMN()-1,31.001),0)),2),Auxiliar!$D$1:$E$7,2,0),'Feriados y días laborables'!$D$3:$E$9,2,0)="Si"))</f>
        <v>1</v>
      </c>
      <c r="DC6" s="7" t="b">
        <f>AND(NOT(ISNUMBER(MATCH(DATE($A$4,INT((COLUMN()-1)/31.001)+$A$3,ROUNDUP(MOD(COLUMN()-1,31.001),0)),Feriados,0))),(VLOOKUP(VLOOKUP(WEEKDAY(DATE($A$4,INT((COLUMN()-1)/31.001)+$A$3,ROUNDUP(MOD(COLUMN()-1,31.001),0)),2),Auxiliar!$D$1:$E$7,2,0),'Feriados y días laborables'!$D$3:$E$9,2,0)="Si"))</f>
        <v>1</v>
      </c>
      <c r="DD6" s="7" t="b">
        <f>AND(NOT(ISNUMBER(MATCH(DATE($A$4,INT((COLUMN()-1)/31.001)+$A$3,ROUNDUP(MOD(COLUMN()-1,31.001),0)),Feriados,0))),(VLOOKUP(VLOOKUP(WEEKDAY(DATE($A$4,INT((COLUMN()-1)/31.001)+$A$3,ROUNDUP(MOD(COLUMN()-1,31.001),0)),2),Auxiliar!$D$1:$E$7,2,0),'Feriados y días laborables'!$D$3:$E$9,2,0)="Si"))</f>
        <v>1</v>
      </c>
      <c r="DE6" s="7" t="b">
        <f>AND(NOT(ISNUMBER(MATCH(DATE($A$4,INT((COLUMN()-1)/31.001)+$A$3,ROUNDUP(MOD(COLUMN()-1,31.001),0)),Feriados,0))),(VLOOKUP(VLOOKUP(WEEKDAY(DATE($A$4,INT((COLUMN()-1)/31.001)+$A$3,ROUNDUP(MOD(COLUMN()-1,31.001),0)),2),Auxiliar!$D$1:$E$7,2,0),'Feriados y días laborables'!$D$3:$E$9,2,0)="Si"))</f>
        <v>1</v>
      </c>
      <c r="DF6" s="7" t="b">
        <f>AND(NOT(ISNUMBER(MATCH(DATE($A$4,INT((COLUMN()-1)/31.001)+$A$3,ROUNDUP(MOD(COLUMN()-1,31.001),0)),Feriados,0))),(VLOOKUP(VLOOKUP(WEEKDAY(DATE($A$4,INT((COLUMN()-1)/31.001)+$A$3,ROUNDUP(MOD(COLUMN()-1,31.001),0)),2),Auxiliar!$D$1:$E$7,2,0),'Feriados y días laborables'!$D$3:$E$9,2,0)="Si"))</f>
        <v>1</v>
      </c>
      <c r="DG6" s="7" t="b">
        <f>AND(NOT(ISNUMBER(MATCH(DATE($A$4,INT((COLUMN()-1)/31.001)+$A$3,ROUNDUP(MOD(COLUMN()-1,31.001),0)),Feriados,0))),(VLOOKUP(VLOOKUP(WEEKDAY(DATE($A$4,INT((COLUMN()-1)/31.001)+$A$3,ROUNDUP(MOD(COLUMN()-1,31.001),0)),2),Auxiliar!$D$1:$E$7,2,0),'Feriados y días laborables'!$D$3:$E$9,2,0)="Si"))</f>
        <v>1</v>
      </c>
      <c r="DH6" s="7" t="b">
        <f>AND(NOT(ISNUMBER(MATCH(DATE($A$4,INT((COLUMN()-1)/31.001)+$A$3,ROUNDUP(MOD(COLUMN()-1,31.001),0)),Feriados,0))),(VLOOKUP(VLOOKUP(WEEKDAY(DATE($A$4,INT((COLUMN()-1)/31.001)+$A$3,ROUNDUP(MOD(COLUMN()-1,31.001),0)),2),Auxiliar!$D$1:$E$7,2,0),'Feriados y días laborables'!$D$3:$E$9,2,0)="Si"))</f>
        <v>1</v>
      </c>
      <c r="DI6" s="7" t="b">
        <f>AND(NOT(ISNUMBER(MATCH(DATE($A$4,INT((COLUMN()-1)/31.001)+$A$3,ROUNDUP(MOD(COLUMN()-1,31.001),0)),Feriados,0))),(VLOOKUP(VLOOKUP(WEEKDAY(DATE($A$4,INT((COLUMN()-1)/31.001)+$A$3,ROUNDUP(MOD(COLUMN()-1,31.001),0)),2),Auxiliar!$D$1:$E$7,2,0),'Feriados y días laborables'!$D$3:$E$9,2,0)="Si"))</f>
        <v>1</v>
      </c>
      <c r="DJ6" s="7" t="b">
        <f>AND(NOT(ISNUMBER(MATCH(DATE($A$4,INT((COLUMN()-1)/31.001)+$A$3,ROUNDUP(MOD(COLUMN()-1,31.001),0)),Feriados,0))),(VLOOKUP(VLOOKUP(WEEKDAY(DATE($A$4,INT((COLUMN()-1)/31.001)+$A$3,ROUNDUP(MOD(COLUMN()-1,31.001),0)),2),Auxiliar!$D$1:$E$7,2,0),'Feriados y días laborables'!$D$3:$E$9,2,0)="Si"))</f>
        <v>1</v>
      </c>
      <c r="DK6" s="7" t="b">
        <f>AND(NOT(ISNUMBER(MATCH(DATE($A$4,INT((COLUMN()-1)/31.001)+$A$3,ROUNDUP(MOD(COLUMN()-1,31.001),0)),Feriados,0))),(VLOOKUP(VLOOKUP(WEEKDAY(DATE($A$4,INT((COLUMN()-1)/31.001)+$A$3,ROUNDUP(MOD(COLUMN()-1,31.001),0)),2),Auxiliar!$D$1:$E$7,2,0),'Feriados y días laborables'!$D$3:$E$9,2,0)="Si"))</f>
        <v>1</v>
      </c>
      <c r="DL6" s="7" t="b">
        <f>AND(NOT(ISNUMBER(MATCH(DATE($A$4,INT((COLUMN()-1)/31.001)+$A$3,ROUNDUP(MOD(COLUMN()-1,31.001),0)),Feriados,0))),(VLOOKUP(VLOOKUP(WEEKDAY(DATE($A$4,INT((COLUMN()-1)/31.001)+$A$3,ROUNDUP(MOD(COLUMN()-1,31.001),0)),2),Auxiliar!$D$1:$E$7,2,0),'Feriados y días laborables'!$D$3:$E$9,2,0)="Si"))</f>
        <v>1</v>
      </c>
      <c r="DM6" s="7" t="b">
        <f>AND(NOT(ISNUMBER(MATCH(DATE($A$4,INT((COLUMN()-1)/31.001)+$A$3,ROUNDUP(MOD(COLUMN()-1,31.001),0)),Feriados,0))),(VLOOKUP(VLOOKUP(WEEKDAY(DATE($A$4,INT((COLUMN()-1)/31.001)+$A$3,ROUNDUP(MOD(COLUMN()-1,31.001),0)),2),Auxiliar!$D$1:$E$7,2,0),'Feriados y días laborables'!$D$3:$E$9,2,0)="Si"))</f>
        <v>1</v>
      </c>
      <c r="DN6" s="7" t="b">
        <f>AND(NOT(ISNUMBER(MATCH(DATE($A$4,INT((COLUMN()-1)/31.001)+$A$3,ROUNDUP(MOD(COLUMN()-1,31.001),0)),Feriados,0))),(VLOOKUP(VLOOKUP(WEEKDAY(DATE($A$4,INT((COLUMN()-1)/31.001)+$A$3,ROUNDUP(MOD(COLUMN()-1,31.001),0)),2),Auxiliar!$D$1:$E$7,2,0),'Feriados y días laborables'!$D$3:$E$9,2,0)="Si"))</f>
        <v>1</v>
      </c>
      <c r="DO6" s="7" t="b">
        <f>AND(NOT(ISNUMBER(MATCH(DATE($A$4,INT((COLUMN()-1)/31.001)+$A$3,ROUNDUP(MOD(COLUMN()-1,31.001),0)),Feriados,0))),(VLOOKUP(VLOOKUP(WEEKDAY(DATE($A$4,INT((COLUMN()-1)/31.001)+$A$3,ROUNDUP(MOD(COLUMN()-1,31.001),0)),2),Auxiliar!$D$1:$E$7,2,0),'Feriados y días laborables'!$D$3:$E$9,2,0)="Si"))</f>
        <v>1</v>
      </c>
      <c r="DP6" s="7" t="b">
        <f>AND(NOT(ISNUMBER(MATCH(DATE($A$4,INT((COLUMN()-1)/31.001)+$A$3,ROUNDUP(MOD(COLUMN()-1,31.001),0)),Feriados,0))),(VLOOKUP(VLOOKUP(WEEKDAY(DATE($A$4,INT((COLUMN()-1)/31.001)+$A$3,ROUNDUP(MOD(COLUMN()-1,31.001),0)),2),Auxiliar!$D$1:$E$7,2,0),'Feriados y días laborables'!$D$3:$E$9,2,0)="Si"))</f>
        <v>1</v>
      </c>
      <c r="DQ6" s="7" t="b">
        <f>AND(NOT(ISNUMBER(MATCH(DATE($A$4,INT((COLUMN()-1)/31.001)+$A$3,ROUNDUP(MOD(COLUMN()-1,31.001),0)),Feriados,0))),(VLOOKUP(VLOOKUP(WEEKDAY(DATE($A$4,INT((COLUMN()-1)/31.001)+$A$3,ROUNDUP(MOD(COLUMN()-1,31.001),0)),2),Auxiliar!$D$1:$E$7,2,0),'Feriados y días laborables'!$D$3:$E$9,2,0)="Si"))</f>
        <v>1</v>
      </c>
      <c r="DR6" s="7" t="b">
        <f>AND(NOT(ISNUMBER(MATCH(DATE($A$4,INT((COLUMN()-1)/31.001)+$A$3,ROUNDUP(MOD(COLUMN()-1,31.001),0)),Feriados,0))),(VLOOKUP(VLOOKUP(WEEKDAY(DATE($A$4,INT((COLUMN()-1)/31.001)+$A$3,ROUNDUP(MOD(COLUMN()-1,31.001),0)),2),Auxiliar!$D$1:$E$7,2,0),'Feriados y días laborables'!$D$3:$E$9,2,0)="Si"))</f>
        <v>1</v>
      </c>
      <c r="DS6" s="7" t="b">
        <f>AND(NOT(ISNUMBER(MATCH(DATE($A$4,INT((COLUMN()-1)/31.001)+$A$3,ROUNDUP(MOD(COLUMN()-1,31.001),0)),Feriados,0))),(VLOOKUP(VLOOKUP(WEEKDAY(DATE($A$4,INT((COLUMN()-1)/31.001)+$A$3,ROUNDUP(MOD(COLUMN()-1,31.001),0)),2),Auxiliar!$D$1:$E$7,2,0),'Feriados y días laborables'!$D$3:$E$9,2,0)="Si"))</f>
        <v>1</v>
      </c>
      <c r="DT6" s="7" t="b">
        <f>AND(NOT(ISNUMBER(MATCH(DATE($A$4,INT((COLUMN()-1)/31.001)+$A$3,ROUNDUP(MOD(COLUMN()-1,31.001),0)),Feriados,0))),(VLOOKUP(VLOOKUP(WEEKDAY(DATE($A$4,INT((COLUMN()-1)/31.001)+$A$3,ROUNDUP(MOD(COLUMN()-1,31.001),0)),2),Auxiliar!$D$1:$E$7,2,0),'Feriados y días laborables'!$D$3:$E$9,2,0)="Si"))</f>
        <v>1</v>
      </c>
      <c r="DU6" s="7" t="b">
        <f>AND(NOT(ISNUMBER(MATCH(DATE($A$4,INT((COLUMN()-1)/31.001)+$A$3,ROUNDUP(MOD(COLUMN()-1,31.001),0)),Feriados,0))),(VLOOKUP(VLOOKUP(WEEKDAY(DATE($A$4,INT((COLUMN()-1)/31.001)+$A$3,ROUNDUP(MOD(COLUMN()-1,31.001),0)),2),Auxiliar!$D$1:$E$7,2,0),'Feriados y días laborables'!$D$3:$E$9,2,0)="Si"))</f>
        <v>0</v>
      </c>
      <c r="DV6" s="7" t="b">
        <f>AND(NOT(ISNUMBER(MATCH(DATE($A$4,INT((COLUMN()-1)/31.001)+$A$3,ROUNDUP(MOD(COLUMN()-1,31.001),0)),Feriados,0))),(VLOOKUP(VLOOKUP(WEEKDAY(DATE($A$4,INT((COLUMN()-1)/31.001)+$A$3,ROUNDUP(MOD(COLUMN()-1,31.001),0)),2),Auxiliar!$D$1:$E$7,2,0),'Feriados y días laborables'!$D$3:$E$9,2,0)="Si"))</f>
        <v>0</v>
      </c>
      <c r="DW6" s="7" t="b">
        <f>AND(NOT(ISNUMBER(MATCH(DATE($A$4,INT((COLUMN()-1)/31.001)+$A$3,ROUNDUP(MOD(COLUMN()-1,31.001),0)),Feriados,0))),(VLOOKUP(VLOOKUP(WEEKDAY(DATE($A$4,INT((COLUMN()-1)/31.001)+$A$3,ROUNDUP(MOD(COLUMN()-1,31.001),0)),2),Auxiliar!$D$1:$E$7,2,0),'Feriados y días laborables'!$D$3:$E$9,2,0)="Si"))</f>
        <v>1</v>
      </c>
      <c r="DX6" s="7" t="b">
        <f>AND(NOT(ISNUMBER(MATCH(DATE($A$4,INT((COLUMN()-1)/31.001)+$A$3,ROUNDUP(MOD(COLUMN()-1,31.001),0)),Feriados,0))),(VLOOKUP(VLOOKUP(WEEKDAY(DATE($A$4,INT((COLUMN()-1)/31.001)+$A$3,ROUNDUP(MOD(COLUMN()-1,31.001),0)),2),Auxiliar!$D$1:$E$7,2,0),'Feriados y días laborables'!$D$3:$E$9,2,0)="Si"))</f>
        <v>1</v>
      </c>
      <c r="DY6" s="7" t="b">
        <f>AND(NOT(ISNUMBER(MATCH(DATE($A$4,INT((COLUMN()-1)/31.001)+$A$3,ROUNDUP(MOD(COLUMN()-1,31.001),0)),Feriados,0))),(VLOOKUP(VLOOKUP(WEEKDAY(DATE($A$4,INT((COLUMN()-1)/31.001)+$A$3,ROUNDUP(MOD(COLUMN()-1,31.001),0)),2),Auxiliar!$D$1:$E$7,2,0),'Feriados y días laborables'!$D$3:$E$9,2,0)="Si"))</f>
        <v>1</v>
      </c>
      <c r="DZ6" s="7" t="b">
        <f>AND(NOT(ISNUMBER(MATCH(DATE($A$4,INT((COLUMN()-1)/31.001)+$A$3,ROUNDUP(MOD(COLUMN()-1,31.001),0)),Feriados,0))),(VLOOKUP(VLOOKUP(WEEKDAY(DATE($A$4,INT((COLUMN()-1)/31.001)+$A$3,ROUNDUP(MOD(COLUMN()-1,31.001),0)),2),Auxiliar!$D$1:$E$7,2,0),'Feriados y días laborables'!$D$3:$E$9,2,0)="Si"))</f>
        <v>1</v>
      </c>
      <c r="EA6" s="7" t="b">
        <f>AND(NOT(ISNUMBER(MATCH(DATE($A$4,INT((COLUMN()-1)/31.001)+$A$3,ROUNDUP(MOD(COLUMN()-1,31.001),0)),Feriados,0))),(VLOOKUP(VLOOKUP(WEEKDAY(DATE($A$4,INT((COLUMN()-1)/31.001)+$A$3,ROUNDUP(MOD(COLUMN()-1,31.001),0)),2),Auxiliar!$D$1:$E$7,2,0),'Feriados y días laborables'!$D$3:$E$9,2,0)="Si"))</f>
        <v>1</v>
      </c>
      <c r="EB6" s="7" t="b">
        <f>AND(NOT(ISNUMBER(MATCH(DATE($A$4,INT((COLUMN()-1)/31.001)+$A$3,ROUNDUP(MOD(COLUMN()-1,31.001),0)),Feriados,0))),(VLOOKUP(VLOOKUP(WEEKDAY(DATE($A$4,INT((COLUMN()-1)/31.001)+$A$3,ROUNDUP(MOD(COLUMN()-1,31.001),0)),2),Auxiliar!$D$1:$E$7,2,0),'Feriados y días laborables'!$D$3:$E$9,2,0)="Si"))</f>
        <v>1</v>
      </c>
      <c r="EC6" s="7" t="b">
        <f>AND(NOT(ISNUMBER(MATCH(DATE($A$4,INT((COLUMN()-1)/31.001)+$A$3,ROUNDUP(MOD(COLUMN()-1,31.001),0)),Feriados,0))),(VLOOKUP(VLOOKUP(WEEKDAY(DATE($A$4,INT((COLUMN()-1)/31.001)+$A$3,ROUNDUP(MOD(COLUMN()-1,31.001),0)),2),Auxiliar!$D$1:$E$7,2,0),'Feriados y días laborables'!$D$3:$E$9,2,0)="Si"))</f>
        <v>1</v>
      </c>
      <c r="ED6" s="7" t="b">
        <f>AND(NOT(ISNUMBER(MATCH(DATE($A$4,INT((COLUMN()-1)/31.001)+$A$3,ROUNDUP(MOD(COLUMN()-1,31.001),0)),Feriados,0))),(VLOOKUP(VLOOKUP(WEEKDAY(DATE($A$4,INT((COLUMN()-1)/31.001)+$A$3,ROUNDUP(MOD(COLUMN()-1,31.001),0)),2),Auxiliar!$D$1:$E$7,2,0),'Feriados y días laborables'!$D$3:$E$9,2,0)="Si"))</f>
        <v>1</v>
      </c>
      <c r="EE6" s="7" t="b">
        <f>AND(NOT(ISNUMBER(MATCH(DATE($A$4,INT((COLUMN()-1)/31.001)+$A$3,ROUNDUP(MOD(COLUMN()-1,31.001),0)),Feriados,0))),(VLOOKUP(VLOOKUP(WEEKDAY(DATE($A$4,INT((COLUMN()-1)/31.001)+$A$3,ROUNDUP(MOD(COLUMN()-1,31.001),0)),2),Auxiliar!$D$1:$E$7,2,0),'Feriados y días laborables'!$D$3:$E$9,2,0)="Si"))</f>
        <v>1</v>
      </c>
      <c r="EF6" s="7" t="b">
        <f>AND(NOT(ISNUMBER(MATCH(DATE($A$4,INT((COLUMN()-1)/31.001)+$A$3,ROUNDUP(MOD(COLUMN()-1,31.001),0)),Feriados,0))),(VLOOKUP(VLOOKUP(WEEKDAY(DATE($A$4,INT((COLUMN()-1)/31.001)+$A$3,ROUNDUP(MOD(COLUMN()-1,31.001),0)),2),Auxiliar!$D$1:$E$7,2,0),'Feriados y días laborables'!$D$3:$E$9,2,0)="Si"))</f>
        <v>1</v>
      </c>
      <c r="EG6" s="7" t="b">
        <f>AND(NOT(ISNUMBER(MATCH(DATE($A$4,INT((COLUMN()-1)/31.001)+$A$3,ROUNDUP(MOD(COLUMN()-1,31.001),0)),Feriados,0))),(VLOOKUP(VLOOKUP(WEEKDAY(DATE($A$4,INT((COLUMN()-1)/31.001)+$A$3,ROUNDUP(MOD(COLUMN()-1,31.001),0)),2),Auxiliar!$D$1:$E$7,2,0),'Feriados y días laborables'!$D$3:$E$9,2,0)="Si"))</f>
        <v>1</v>
      </c>
      <c r="EH6" s="7" t="b">
        <f>AND(NOT(ISNUMBER(MATCH(DATE($A$4,INT((COLUMN()-1)/31.001)+$A$3,ROUNDUP(MOD(COLUMN()-1,31.001),0)),Feriados,0))),(VLOOKUP(VLOOKUP(WEEKDAY(DATE($A$4,INT((COLUMN()-1)/31.001)+$A$3,ROUNDUP(MOD(COLUMN()-1,31.001),0)),2),Auxiliar!$D$1:$E$7,2,0),'Feriados y días laborables'!$D$3:$E$9,2,0)="Si"))</f>
        <v>1</v>
      </c>
      <c r="EI6" s="7" t="b">
        <f>AND(NOT(ISNUMBER(MATCH(DATE($A$4,INT((COLUMN()-1)/31.001)+$A$3,ROUNDUP(MOD(COLUMN()-1,31.001),0)),Feriados,0))),(VLOOKUP(VLOOKUP(WEEKDAY(DATE($A$4,INT((COLUMN()-1)/31.001)+$A$3,ROUNDUP(MOD(COLUMN()-1,31.001),0)),2),Auxiliar!$D$1:$E$7,2,0),'Feriados y días laborables'!$D$3:$E$9,2,0)="Si"))</f>
        <v>1</v>
      </c>
      <c r="EJ6" s="7" t="b">
        <f>AND(NOT(ISNUMBER(MATCH(DATE($A$4,INT((COLUMN()-1)/31.001)+$A$3,ROUNDUP(MOD(COLUMN()-1,31.001),0)),Feriados,0))),(VLOOKUP(VLOOKUP(WEEKDAY(DATE($A$4,INT((COLUMN()-1)/31.001)+$A$3,ROUNDUP(MOD(COLUMN()-1,31.001),0)),2),Auxiliar!$D$1:$E$7,2,0),'Feriados y días laborables'!$D$3:$E$9,2,0)="Si"))</f>
        <v>1</v>
      </c>
      <c r="EK6" s="7" t="b">
        <f>AND(NOT(ISNUMBER(MATCH(DATE($A$4,INT((COLUMN()-1)/31.001)+$A$3,ROUNDUP(MOD(COLUMN()-1,31.001),0)),Feriados,0))),(VLOOKUP(VLOOKUP(WEEKDAY(DATE($A$4,INT((COLUMN()-1)/31.001)+$A$3,ROUNDUP(MOD(COLUMN()-1,31.001),0)),2),Auxiliar!$D$1:$E$7,2,0),'Feriados y días laborables'!$D$3:$E$9,2,0)="Si"))</f>
        <v>1</v>
      </c>
      <c r="EL6" s="7" t="b">
        <f>AND(NOT(ISNUMBER(MATCH(DATE($A$4,INT((COLUMN()-1)/31.001)+$A$3,ROUNDUP(MOD(COLUMN()-1,31.001),0)),Feriados,0))),(VLOOKUP(VLOOKUP(WEEKDAY(DATE($A$4,INT((COLUMN()-1)/31.001)+$A$3,ROUNDUP(MOD(COLUMN()-1,31.001),0)),2),Auxiliar!$D$1:$E$7,2,0),'Feriados y días laborables'!$D$3:$E$9,2,0)="Si"))</f>
        <v>1</v>
      </c>
      <c r="EM6" s="7" t="b">
        <f>AND(NOT(ISNUMBER(MATCH(DATE($A$4,INT((COLUMN()-1)/31.001)+$A$3,ROUNDUP(MOD(COLUMN()-1,31.001),0)),Feriados,0))),(VLOOKUP(VLOOKUP(WEEKDAY(DATE($A$4,INT((COLUMN()-1)/31.001)+$A$3,ROUNDUP(MOD(COLUMN()-1,31.001),0)),2),Auxiliar!$D$1:$E$7,2,0),'Feriados y días laborables'!$D$3:$E$9,2,0)="Si"))</f>
        <v>1</v>
      </c>
      <c r="EN6" s="7" t="b">
        <f>AND(NOT(ISNUMBER(MATCH(DATE($A$4,INT((COLUMN()-1)/31.001)+$A$3,ROUNDUP(MOD(COLUMN()-1,31.001),0)),Feriados,0))),(VLOOKUP(VLOOKUP(WEEKDAY(DATE($A$4,INT((COLUMN()-1)/31.001)+$A$3,ROUNDUP(MOD(COLUMN()-1,31.001),0)),2),Auxiliar!$D$1:$E$7,2,0),'Feriados y días laborables'!$D$3:$E$9,2,0)="Si"))</f>
        <v>1</v>
      </c>
      <c r="EO6" s="7" t="b">
        <f>AND(NOT(ISNUMBER(MATCH(DATE($A$4,INT((COLUMN()-1)/31.001)+$A$3,ROUNDUP(MOD(COLUMN()-1,31.001),0)),Feriados,0))),(VLOOKUP(VLOOKUP(WEEKDAY(DATE($A$4,INT((COLUMN()-1)/31.001)+$A$3,ROUNDUP(MOD(COLUMN()-1,31.001),0)),2),Auxiliar!$D$1:$E$7,2,0),'Feriados y días laborables'!$D$3:$E$9,2,0)="Si"))</f>
        <v>1</v>
      </c>
      <c r="EP6" s="7" t="b">
        <f>AND(NOT(ISNUMBER(MATCH(DATE($A$4,INT((COLUMN()-1)/31.001)+$A$3,ROUNDUP(MOD(COLUMN()-1,31.001),0)),Feriados,0))),(VLOOKUP(VLOOKUP(WEEKDAY(DATE($A$4,INT((COLUMN()-1)/31.001)+$A$3,ROUNDUP(MOD(COLUMN()-1,31.001),0)),2),Auxiliar!$D$1:$E$7,2,0),'Feriados y días laborables'!$D$3:$E$9,2,0)="Si"))</f>
        <v>1</v>
      </c>
      <c r="EQ6" s="7" t="b">
        <f>AND(NOT(ISNUMBER(MATCH(DATE($A$4,INT((COLUMN()-1)/31.001)+$A$3,ROUNDUP(MOD(COLUMN()-1,31.001),0)),Feriados,0))),(VLOOKUP(VLOOKUP(WEEKDAY(DATE($A$4,INT((COLUMN()-1)/31.001)+$A$3,ROUNDUP(MOD(COLUMN()-1,31.001),0)),2),Auxiliar!$D$1:$E$7,2,0),'Feriados y días laborables'!$D$3:$E$9,2,0)="Si"))</f>
        <v>1</v>
      </c>
      <c r="ER6" s="7" t="b">
        <f>AND(NOT(ISNUMBER(MATCH(DATE($A$4,INT((COLUMN()-1)/31.001)+$A$3,ROUNDUP(MOD(COLUMN()-1,31.001),0)),Feriados,0))),(VLOOKUP(VLOOKUP(WEEKDAY(DATE($A$4,INT((COLUMN()-1)/31.001)+$A$3,ROUNDUP(MOD(COLUMN()-1,31.001),0)),2),Auxiliar!$D$1:$E$7,2,0),'Feriados y días laborables'!$D$3:$E$9,2,0)="Si"))</f>
        <v>1</v>
      </c>
      <c r="ES6" s="7" t="b">
        <f>AND(NOT(ISNUMBER(MATCH(DATE($A$4,INT((COLUMN()-1)/31.001)+$A$3,ROUNDUP(MOD(COLUMN()-1,31.001),0)),Feriados,0))),(VLOOKUP(VLOOKUP(WEEKDAY(DATE($A$4,INT((COLUMN()-1)/31.001)+$A$3,ROUNDUP(MOD(COLUMN()-1,31.001),0)),2),Auxiliar!$D$1:$E$7,2,0),'Feriados y días laborables'!$D$3:$E$9,2,0)="Si"))</f>
        <v>1</v>
      </c>
      <c r="ET6" s="7" t="b">
        <f>AND(NOT(ISNUMBER(MATCH(DATE($A$4,INT((COLUMN()-1)/31.001)+$A$3,ROUNDUP(MOD(COLUMN()-1,31.001),0)),Feriados,0))),(VLOOKUP(VLOOKUP(WEEKDAY(DATE($A$4,INT((COLUMN()-1)/31.001)+$A$3,ROUNDUP(MOD(COLUMN()-1,31.001),0)),2),Auxiliar!$D$1:$E$7,2,0),'Feriados y días laborables'!$D$3:$E$9,2,0)="Si"))</f>
        <v>1</v>
      </c>
      <c r="EU6" s="7" t="b">
        <f>AND(NOT(ISNUMBER(MATCH(DATE($A$4,INT((COLUMN()-1)/31.001)+$A$3,ROUNDUP(MOD(COLUMN()-1,31.001),0)),Feriados,0))),(VLOOKUP(VLOOKUP(WEEKDAY(DATE($A$4,INT((COLUMN()-1)/31.001)+$A$3,ROUNDUP(MOD(COLUMN()-1,31.001),0)),2),Auxiliar!$D$1:$E$7,2,0),'Feriados y días laborables'!$D$3:$E$9,2,0)="Si"))</f>
        <v>1</v>
      </c>
      <c r="EV6" s="7" t="b">
        <f>AND(NOT(ISNUMBER(MATCH(DATE($A$4,INT((COLUMN()-1)/31.001)+$A$3,ROUNDUP(MOD(COLUMN()-1,31.001),0)),Feriados,0))),(VLOOKUP(VLOOKUP(WEEKDAY(DATE($A$4,INT((COLUMN()-1)/31.001)+$A$3,ROUNDUP(MOD(COLUMN()-1,31.001),0)),2),Auxiliar!$D$1:$E$7,2,0),'Feriados y días laborables'!$D$3:$E$9,2,0)="Si"))</f>
        <v>1</v>
      </c>
      <c r="EW6" s="7" t="b">
        <f>AND(NOT(ISNUMBER(MATCH(DATE($A$4,INT((COLUMN()-1)/31.001)+$A$3,ROUNDUP(MOD(COLUMN()-1,31.001),0)),Feriados,0))),(VLOOKUP(VLOOKUP(WEEKDAY(DATE($A$4,INT((COLUMN()-1)/31.001)+$A$3,ROUNDUP(MOD(COLUMN()-1,31.001),0)),2),Auxiliar!$D$1:$E$7,2,0),'Feriados y días laborables'!$D$3:$E$9,2,0)="Si"))</f>
        <v>1</v>
      </c>
      <c r="EX6" s="7" t="b">
        <f>AND(NOT(ISNUMBER(MATCH(DATE($A$4,INT((COLUMN()-1)/31.001)+$A$3,ROUNDUP(MOD(COLUMN()-1,31.001),0)),Feriados,0))),(VLOOKUP(VLOOKUP(WEEKDAY(DATE($A$4,INT((COLUMN()-1)/31.001)+$A$3,ROUNDUP(MOD(COLUMN()-1,31.001),0)),2),Auxiliar!$D$1:$E$7,2,0),'Feriados y días laborables'!$D$3:$E$9,2,0)="Si"))</f>
        <v>1</v>
      </c>
      <c r="EY6" s="7" t="b">
        <f>AND(NOT(ISNUMBER(MATCH(DATE($A$4,INT((COLUMN()-1)/31.001)+$A$3,ROUNDUP(MOD(COLUMN()-1,31.001),0)),Feriados,0))),(VLOOKUP(VLOOKUP(WEEKDAY(DATE($A$4,INT((COLUMN()-1)/31.001)+$A$3,ROUNDUP(MOD(COLUMN()-1,31.001),0)),2),Auxiliar!$D$1:$E$7,2,0),'Feriados y días laborables'!$D$3:$E$9,2,0)="Si"))</f>
        <v>1</v>
      </c>
      <c r="EZ6" s="7" t="b">
        <f>AND(NOT(ISNUMBER(MATCH(DATE($A$4,INT((COLUMN()-1)/31.001)+$A$3,ROUNDUP(MOD(COLUMN()-1,31.001),0)),Feriados,0))),(VLOOKUP(VLOOKUP(WEEKDAY(DATE($A$4,INT((COLUMN()-1)/31.001)+$A$3,ROUNDUP(MOD(COLUMN()-1,31.001),0)),2),Auxiliar!$D$1:$E$7,2,0),'Feriados y días laborables'!$D$3:$E$9,2,0)="Si"))</f>
        <v>1</v>
      </c>
      <c r="FA6" s="7" t="b">
        <f>AND(NOT(ISNUMBER(MATCH(DATE($A$4,INT((COLUMN()-1)/31.001)+$A$3,ROUNDUP(MOD(COLUMN()-1,31.001),0)),Feriados,0))),(VLOOKUP(VLOOKUP(WEEKDAY(DATE($A$4,INT((COLUMN()-1)/31.001)+$A$3,ROUNDUP(MOD(COLUMN()-1,31.001),0)),2),Auxiliar!$D$1:$E$7,2,0),'Feriados y días laborables'!$D$3:$E$9,2,0)="Si"))</f>
        <v>1</v>
      </c>
      <c r="FB6" s="7" t="b">
        <f>AND(NOT(ISNUMBER(MATCH(DATE($A$4,INT((COLUMN()-1)/31.001)+$A$3,ROUNDUP(MOD(COLUMN()-1,31.001),0)),Feriados,0))),(VLOOKUP(VLOOKUP(WEEKDAY(DATE($A$4,INT((COLUMN()-1)/31.001)+$A$3,ROUNDUP(MOD(COLUMN()-1,31.001),0)),2),Auxiliar!$D$1:$E$7,2,0),'Feriados y días laborables'!$D$3:$E$9,2,0)="Si"))</f>
        <v>1</v>
      </c>
      <c r="FC6" s="7" t="b">
        <f>AND(NOT(ISNUMBER(MATCH(DATE($A$4,INT((COLUMN()-1)/31.001)+$A$3,ROUNDUP(MOD(COLUMN()-1,31.001),0)),Feriados,0))),(VLOOKUP(VLOOKUP(WEEKDAY(DATE($A$4,INT((COLUMN()-1)/31.001)+$A$3,ROUNDUP(MOD(COLUMN()-1,31.001),0)),2),Auxiliar!$D$1:$E$7,2,0),'Feriados y días laborables'!$D$3:$E$9,2,0)="Si"))</f>
        <v>1</v>
      </c>
      <c r="FD6" s="7" t="b">
        <f>AND(NOT(ISNUMBER(MATCH(DATE($A$4,INT((COLUMN()-1)/31.001)+$A$3,ROUNDUP(MOD(COLUMN()-1,31.001),0)),Feriados,0))),(VLOOKUP(VLOOKUP(WEEKDAY(DATE($A$4,INT((COLUMN()-1)/31.001)+$A$3,ROUNDUP(MOD(COLUMN()-1,31.001),0)),2),Auxiliar!$D$1:$E$7,2,0),'Feriados y días laborables'!$D$3:$E$9,2,0)="Si"))</f>
        <v>1</v>
      </c>
      <c r="FE6" s="7" t="b">
        <f>AND(NOT(ISNUMBER(MATCH(DATE($A$4,INT((COLUMN()-1)/31.001)+$A$3,ROUNDUP(MOD(COLUMN()-1,31.001),0)),Feriados,0))),(VLOOKUP(VLOOKUP(WEEKDAY(DATE($A$4,INT((COLUMN()-1)/31.001)+$A$3,ROUNDUP(MOD(COLUMN()-1,31.001),0)),2),Auxiliar!$D$1:$E$7,2,0),'Feriados y días laborables'!$D$3:$E$9,2,0)="Si"))</f>
        <v>1</v>
      </c>
      <c r="FF6" s="7" t="b">
        <f>AND(NOT(ISNUMBER(MATCH(DATE($A$4,INT((COLUMN()-1)/31.001)+$A$3,ROUNDUP(MOD(COLUMN()-1,31.001),0)),Feriados,0))),(VLOOKUP(VLOOKUP(WEEKDAY(DATE($A$4,INT((COLUMN()-1)/31.001)+$A$3,ROUNDUP(MOD(COLUMN()-1,31.001),0)),2),Auxiliar!$D$1:$E$7,2,0),'Feriados y días laborables'!$D$3:$E$9,2,0)="Si"))</f>
        <v>1</v>
      </c>
      <c r="FG6" s="7" t="b">
        <f>AND(NOT(ISNUMBER(MATCH(DATE($A$4,INT((COLUMN()-1)/31.001)+$A$3,ROUNDUP(MOD(COLUMN()-1,31.001),0)),Feriados,0))),(VLOOKUP(VLOOKUP(WEEKDAY(DATE($A$4,INT((COLUMN()-1)/31.001)+$A$3,ROUNDUP(MOD(COLUMN()-1,31.001),0)),2),Auxiliar!$D$1:$E$7,2,0),'Feriados y días laborables'!$D$3:$E$9,2,0)="Si"))</f>
        <v>1</v>
      </c>
      <c r="FH6" s="7" t="b">
        <f>AND(NOT(ISNUMBER(MATCH(DATE($A$4,INT((COLUMN()-1)/31.001)+$A$3,ROUNDUP(MOD(COLUMN()-1,31.001),0)),Feriados,0))),(VLOOKUP(VLOOKUP(WEEKDAY(DATE($A$4,INT((COLUMN()-1)/31.001)+$A$3,ROUNDUP(MOD(COLUMN()-1,31.001),0)),2),Auxiliar!$D$1:$E$7,2,0),'Feriados y días laborables'!$D$3:$E$9,2,0)="Si"))</f>
        <v>1</v>
      </c>
      <c r="FI6" s="7" t="b">
        <f>AND(NOT(ISNUMBER(MATCH(DATE($A$4,INT((COLUMN()-1)/31.001)+$A$3,ROUNDUP(MOD(COLUMN()-1,31.001),0)),Feriados,0))),(VLOOKUP(VLOOKUP(WEEKDAY(DATE($A$4,INT((COLUMN()-1)/31.001)+$A$3,ROUNDUP(MOD(COLUMN()-1,31.001),0)),2),Auxiliar!$D$1:$E$7,2,0),'Feriados y días laborables'!$D$3:$E$9,2,0)="Si"))</f>
        <v>1</v>
      </c>
      <c r="FJ6" s="7" t="b">
        <f>AND(NOT(ISNUMBER(MATCH(DATE($A$4,INT((COLUMN()-1)/31.001)+$A$3,ROUNDUP(MOD(COLUMN()-1,31.001),0)),Feriados,0))),(VLOOKUP(VLOOKUP(WEEKDAY(DATE($A$4,INT((COLUMN()-1)/31.001)+$A$3,ROUNDUP(MOD(COLUMN()-1,31.001),0)),2),Auxiliar!$D$1:$E$7,2,0),'Feriados y días laborables'!$D$3:$E$9,2,0)="Si"))</f>
        <v>1</v>
      </c>
      <c r="FK6" s="7" t="b">
        <f>AND(NOT(ISNUMBER(MATCH(DATE($A$4,INT((COLUMN()-1)/31.001)+$A$3,ROUNDUP(MOD(COLUMN()-1,31.001),0)),Feriados,0))),(VLOOKUP(VLOOKUP(WEEKDAY(DATE($A$4,INT((COLUMN()-1)/31.001)+$A$3,ROUNDUP(MOD(COLUMN()-1,31.001),0)),2),Auxiliar!$D$1:$E$7,2,0),'Feriados y días laborables'!$D$3:$E$9,2,0)="Si"))</f>
        <v>1</v>
      </c>
      <c r="FL6" s="7" t="b">
        <f>AND(NOT(ISNUMBER(MATCH(DATE($A$4,INT((COLUMN()-1)/31.001)+$A$3,ROUNDUP(MOD(COLUMN()-1,31.001),0)),Feriados,0))),(VLOOKUP(VLOOKUP(WEEKDAY(DATE($A$4,INT((COLUMN()-1)/31.001)+$A$3,ROUNDUP(MOD(COLUMN()-1,31.001),0)),2),Auxiliar!$D$1:$E$7,2,0),'Feriados y días laborables'!$D$3:$E$9,2,0)="Si"))</f>
        <v>1</v>
      </c>
      <c r="FM6" s="7" t="b">
        <f>AND(NOT(ISNUMBER(MATCH(DATE($A$4,INT((COLUMN()-1)/31.001)+$A$3,ROUNDUP(MOD(COLUMN()-1,31.001),0)),Feriados,0))),(VLOOKUP(VLOOKUP(WEEKDAY(DATE($A$4,INT((COLUMN()-1)/31.001)+$A$3,ROUNDUP(MOD(COLUMN()-1,31.001),0)),2),Auxiliar!$D$1:$E$7,2,0),'Feriados y días laborables'!$D$3:$E$9,2,0)="Si"))</f>
        <v>1</v>
      </c>
      <c r="FN6" s="7" t="b">
        <f>AND(NOT(ISNUMBER(MATCH(DATE($A$4,INT((COLUMN()-1)/31.001)+$A$3,ROUNDUP(MOD(COLUMN()-1,31.001),0)),Feriados,0))),(VLOOKUP(VLOOKUP(WEEKDAY(DATE($A$4,INT((COLUMN()-1)/31.001)+$A$3,ROUNDUP(MOD(COLUMN()-1,31.001),0)),2),Auxiliar!$D$1:$E$7,2,0),'Feriados y días laborables'!$D$3:$E$9,2,0)="Si"))</f>
        <v>1</v>
      </c>
      <c r="FO6" s="7" t="b">
        <f>AND(NOT(ISNUMBER(MATCH(DATE($A$4,INT((COLUMN()-1)/31.001)+$A$3,ROUNDUP(MOD(COLUMN()-1,31.001),0)),Feriados,0))),(VLOOKUP(VLOOKUP(WEEKDAY(DATE($A$4,INT((COLUMN()-1)/31.001)+$A$3,ROUNDUP(MOD(COLUMN()-1,31.001),0)),2),Auxiliar!$D$1:$E$7,2,0),'Feriados y días laborables'!$D$3:$E$9,2,0)="Si"))</f>
        <v>1</v>
      </c>
      <c r="FP6" s="7" t="b">
        <f>AND(NOT(ISNUMBER(MATCH(DATE($A$4,INT((COLUMN()-1)/31.001)+$A$3,ROUNDUP(MOD(COLUMN()-1,31.001),0)),Feriados,0))),(VLOOKUP(VLOOKUP(WEEKDAY(DATE($A$4,INT((COLUMN()-1)/31.001)+$A$3,ROUNDUP(MOD(COLUMN()-1,31.001),0)),2),Auxiliar!$D$1:$E$7,2,0),'Feriados y días laborables'!$D$3:$E$9,2,0)="Si"))</f>
        <v>1</v>
      </c>
      <c r="FQ6" s="7" t="b">
        <f>AND(NOT(ISNUMBER(MATCH(DATE($A$4,INT((COLUMN()-1)/31.001)+$A$3,ROUNDUP(MOD(COLUMN()-1,31.001),0)),Feriados,0))),(VLOOKUP(VLOOKUP(WEEKDAY(DATE($A$4,INT((COLUMN()-1)/31.001)+$A$3,ROUNDUP(MOD(COLUMN()-1,31.001),0)),2),Auxiliar!$D$1:$E$7,2,0),'Feriados y días laborables'!$D$3:$E$9,2,0)="Si"))</f>
        <v>1</v>
      </c>
      <c r="FR6" s="7" t="b">
        <f>AND(NOT(ISNUMBER(MATCH(DATE($A$4,INT((COLUMN()-1)/31.001)+$A$3,ROUNDUP(MOD(COLUMN()-1,31.001),0)),Feriados,0))),(VLOOKUP(VLOOKUP(WEEKDAY(DATE($A$4,INT((COLUMN()-1)/31.001)+$A$3,ROUNDUP(MOD(COLUMN()-1,31.001),0)),2),Auxiliar!$D$1:$E$7,2,0),'Feriados y días laborables'!$D$3:$E$9,2,0)="Si"))</f>
        <v>1</v>
      </c>
      <c r="FS6" s="7" t="b">
        <f>AND(NOT(ISNUMBER(MATCH(DATE($A$4,INT((COLUMN()-1)/31.001)+$A$3,ROUNDUP(MOD(COLUMN()-1,31.001),0)),Feriados,0))),(VLOOKUP(VLOOKUP(WEEKDAY(DATE($A$4,INT((COLUMN()-1)/31.001)+$A$3,ROUNDUP(MOD(COLUMN()-1,31.001),0)),2),Auxiliar!$D$1:$E$7,2,0),'Feriados y días laborables'!$D$3:$E$9,2,0)="Si"))</f>
        <v>1</v>
      </c>
      <c r="FT6" s="7" t="b">
        <f>AND(NOT(ISNUMBER(MATCH(DATE($A$4,INT((COLUMN()-1)/31.001)+$A$3,ROUNDUP(MOD(COLUMN()-1,31.001),0)),Feriados,0))),(VLOOKUP(VLOOKUP(WEEKDAY(DATE($A$4,INT((COLUMN()-1)/31.001)+$A$3,ROUNDUP(MOD(COLUMN()-1,31.001),0)),2),Auxiliar!$D$1:$E$7,2,0),'Feriados y días laborables'!$D$3:$E$9,2,0)="Si"))</f>
        <v>1</v>
      </c>
      <c r="FU6" s="7" t="b">
        <f>AND(NOT(ISNUMBER(MATCH(DATE($A$4,INT((COLUMN()-1)/31.001)+$A$3,ROUNDUP(MOD(COLUMN()-1,31.001),0)),Feriados,0))),(VLOOKUP(VLOOKUP(WEEKDAY(DATE($A$4,INT((COLUMN()-1)/31.001)+$A$3,ROUNDUP(MOD(COLUMN()-1,31.001),0)),2),Auxiliar!$D$1:$E$7,2,0),'Feriados y días laborables'!$D$3:$E$9,2,0)="Si"))</f>
        <v>1</v>
      </c>
      <c r="FV6" s="7" t="b">
        <f>AND(NOT(ISNUMBER(MATCH(DATE($A$4,INT((COLUMN()-1)/31.001)+$A$3,ROUNDUP(MOD(COLUMN()-1,31.001),0)),Feriados,0))),(VLOOKUP(VLOOKUP(WEEKDAY(DATE($A$4,INT((COLUMN()-1)/31.001)+$A$3,ROUNDUP(MOD(COLUMN()-1,31.001),0)),2),Auxiliar!$D$1:$E$7,2,0),'Feriados y días laborables'!$D$3:$E$9,2,0)="Si"))</f>
        <v>1</v>
      </c>
      <c r="FW6" s="7" t="b">
        <f>AND(NOT(ISNUMBER(MATCH(DATE($A$4,INT((COLUMN()-1)/31.001)+$A$3,ROUNDUP(MOD(COLUMN()-1,31.001),0)),Feriados,0))),(VLOOKUP(VLOOKUP(WEEKDAY(DATE($A$4,INT((COLUMN()-1)/31.001)+$A$3,ROUNDUP(MOD(COLUMN()-1,31.001),0)),2),Auxiliar!$D$1:$E$7,2,0),'Feriados y días laborables'!$D$3:$E$9,2,0)="Si"))</f>
        <v>1</v>
      </c>
      <c r="FX6" s="7" t="b">
        <f>AND(NOT(ISNUMBER(MATCH(DATE($A$4,INT((COLUMN()-1)/31.001)+$A$3,ROUNDUP(MOD(COLUMN()-1,31.001),0)),Feriados,0))),(VLOOKUP(VLOOKUP(WEEKDAY(DATE($A$4,INT((COLUMN()-1)/31.001)+$A$3,ROUNDUP(MOD(COLUMN()-1,31.001),0)),2),Auxiliar!$D$1:$E$7,2,0),'Feriados y días laborables'!$D$3:$E$9,2,0)="Si"))</f>
        <v>1</v>
      </c>
      <c r="FY6" s="7" t="b">
        <f>AND(NOT(ISNUMBER(MATCH(DATE($A$4,INT((COLUMN()-1)/31.001)+$A$3,ROUNDUP(MOD(COLUMN()-1,31.001),0)),Feriados,0))),(VLOOKUP(VLOOKUP(WEEKDAY(DATE($A$4,INT((COLUMN()-1)/31.001)+$A$3,ROUNDUP(MOD(COLUMN()-1,31.001),0)),2),Auxiliar!$D$1:$E$7,2,0),'Feriados y días laborables'!$D$3:$E$9,2,0)="Si"))</f>
        <v>1</v>
      </c>
      <c r="FZ6" s="7" t="b">
        <f>AND(NOT(ISNUMBER(MATCH(DATE($A$4,INT((COLUMN()-1)/31.001)+$A$3,ROUNDUP(MOD(COLUMN()-1,31.001),0)),Feriados,0))),(VLOOKUP(VLOOKUP(WEEKDAY(DATE($A$4,INT((COLUMN()-1)/31.001)+$A$3,ROUNDUP(MOD(COLUMN()-1,31.001),0)),2),Auxiliar!$D$1:$E$7,2,0),'Feriados y días laborables'!$D$3:$E$9,2,0)="Si"))</f>
        <v>1</v>
      </c>
      <c r="GA6" s="7" t="b">
        <f>AND(NOT(ISNUMBER(MATCH(DATE($A$4,INT((COLUMN()-1)/31.001)+$A$3,ROUNDUP(MOD(COLUMN()-1,31.001),0)),Feriados,0))),(VLOOKUP(VLOOKUP(WEEKDAY(DATE($A$4,INT((COLUMN()-1)/31.001)+$A$3,ROUNDUP(MOD(COLUMN()-1,31.001),0)),2),Auxiliar!$D$1:$E$7,2,0),'Feriados y días laborables'!$D$3:$E$9,2,0)="Si"))</f>
        <v>1</v>
      </c>
      <c r="GB6" s="7" t="b">
        <f>AND(NOT(ISNUMBER(MATCH(DATE($A$4,INT((COLUMN()-1)/31.001)+$A$3,ROUNDUP(MOD(COLUMN()-1,31.001),0)),Feriados,0))),(VLOOKUP(VLOOKUP(WEEKDAY(DATE($A$4,INT((COLUMN()-1)/31.001)+$A$3,ROUNDUP(MOD(COLUMN()-1,31.001),0)),2),Auxiliar!$D$1:$E$7,2,0),'Feriados y días laborables'!$D$3:$E$9,2,0)="Si"))</f>
        <v>1</v>
      </c>
      <c r="GC6" s="7" t="b">
        <f>AND(NOT(ISNUMBER(MATCH(DATE($A$4,INT((COLUMN()-1)/31.001)+$A$3,ROUNDUP(MOD(COLUMN()-1,31.001),0)),Feriados,0))),(VLOOKUP(VLOOKUP(WEEKDAY(DATE($A$4,INT((COLUMN()-1)/31.001)+$A$3,ROUNDUP(MOD(COLUMN()-1,31.001),0)),2),Auxiliar!$D$1:$E$7,2,0),'Feriados y días laborables'!$D$3:$E$9,2,0)="Si"))</f>
        <v>1</v>
      </c>
      <c r="GD6" s="7" t="b">
        <f>AND(NOT(ISNUMBER(MATCH(DATE($A$4,INT((COLUMN()-1)/31.001)+$A$3,ROUNDUP(MOD(COLUMN()-1,31.001),0)),Feriados,0))),(VLOOKUP(VLOOKUP(WEEKDAY(DATE($A$4,INT((COLUMN()-1)/31.001)+$A$3,ROUNDUP(MOD(COLUMN()-1,31.001),0)),2),Auxiliar!$D$1:$E$7,2,0),'Feriados y días laborables'!$D$3:$E$9,2,0)="Si"))</f>
        <v>1</v>
      </c>
      <c r="GE6" s="7" t="b">
        <f>AND(NOT(ISNUMBER(MATCH(DATE($A$4,INT((COLUMN()-1)/31.001)+$A$3,ROUNDUP(MOD(COLUMN()-1,31.001),0)),Feriados,0))),(VLOOKUP(VLOOKUP(WEEKDAY(DATE($A$4,INT((COLUMN()-1)/31.001)+$A$3,ROUNDUP(MOD(COLUMN()-1,31.001),0)),2),Auxiliar!$D$1:$E$7,2,0),'Feriados y días laborables'!$D$3:$E$9,2,0)="Si"))</f>
        <v>1</v>
      </c>
      <c r="GF6" s="7" t="b">
        <f>AND(NOT(ISNUMBER(MATCH(DATE($A$4,INT((COLUMN()-1)/31.001)+$A$3,ROUNDUP(MOD(COLUMN()-1,31.001),0)),Feriados,0))),(VLOOKUP(VLOOKUP(WEEKDAY(DATE($A$4,INT((COLUMN()-1)/31.001)+$A$3,ROUNDUP(MOD(COLUMN()-1,31.001),0)),2),Auxiliar!$D$1:$E$7,2,0),'Feriados y días laborables'!$D$3:$E$9,2,0)="Si"))</f>
        <v>1</v>
      </c>
      <c r="GG6" s="7" t="b">
        <f>AND(NOT(ISNUMBER(MATCH(DATE($A$4,INT((COLUMN()-1)/31.001)+$A$3,ROUNDUP(MOD(COLUMN()-1,31.001),0)),Feriados,0))),(VLOOKUP(VLOOKUP(WEEKDAY(DATE($A$4,INT((COLUMN()-1)/31.001)+$A$3,ROUNDUP(MOD(COLUMN()-1,31.001),0)),2),Auxiliar!$D$1:$E$7,2,0),'Feriados y días laborables'!$D$3:$E$9,2,0)="Si"))</f>
        <v>1</v>
      </c>
      <c r="GH6" s="7" t="b">
        <f>AND(NOT(ISNUMBER(MATCH(DATE($A$4,INT((COLUMN()-1)/31.001)+$A$3,ROUNDUP(MOD(COLUMN()-1,31.001),0)),Feriados,0))),(VLOOKUP(VLOOKUP(WEEKDAY(DATE($A$4,INT((COLUMN()-1)/31.001)+$A$3,ROUNDUP(MOD(COLUMN()-1,31.001),0)),2),Auxiliar!$D$1:$E$7,2,0),'Feriados y días laborables'!$D$3:$E$9,2,0)="Si"))</f>
        <v>1</v>
      </c>
      <c r="GI6" s="7" t="b">
        <f>AND(NOT(ISNUMBER(MATCH(DATE($A$4,INT((COLUMN()-1)/31.001)+$A$3,ROUNDUP(MOD(COLUMN()-1,31.001),0)),Feriados,0))),(VLOOKUP(VLOOKUP(WEEKDAY(DATE($A$4,INT((COLUMN()-1)/31.001)+$A$3,ROUNDUP(MOD(COLUMN()-1,31.001),0)),2),Auxiliar!$D$1:$E$7,2,0),'Feriados y días laborables'!$D$3:$E$9,2,0)="Si"))</f>
        <v>1</v>
      </c>
      <c r="GJ6" s="7" t="b">
        <f>AND(NOT(ISNUMBER(MATCH(DATE($A$4,INT((COLUMN()-1)/31.001)+$A$3,ROUNDUP(MOD(COLUMN()-1,31.001),0)),Feriados,0))),(VLOOKUP(VLOOKUP(WEEKDAY(DATE($A$4,INT((COLUMN()-1)/31.001)+$A$3,ROUNDUP(MOD(COLUMN()-1,31.001),0)),2),Auxiliar!$D$1:$E$7,2,0),'Feriados y días laborables'!$D$3:$E$9,2,0)="Si"))</f>
        <v>1</v>
      </c>
      <c r="GK6" s="7" t="b">
        <f>AND(NOT(ISNUMBER(MATCH(DATE($A$4,INT((COLUMN()-1)/31.001)+$A$3,ROUNDUP(MOD(COLUMN()-1,31.001),0)),Feriados,0))),(VLOOKUP(VLOOKUP(WEEKDAY(DATE($A$4,INT((COLUMN()-1)/31.001)+$A$3,ROUNDUP(MOD(COLUMN()-1,31.001),0)),2),Auxiliar!$D$1:$E$7,2,0),'Feriados y días laborables'!$D$3:$E$9,2,0)="Si"))</f>
        <v>1</v>
      </c>
      <c r="GL6" s="7" t="b">
        <f>AND(NOT(ISNUMBER(MATCH(DATE($A$4,INT((COLUMN()-1)/31.001)+$A$3,ROUNDUP(MOD(COLUMN()-1,31.001),0)),Feriados,0))),(VLOOKUP(VLOOKUP(WEEKDAY(DATE($A$4,INT((COLUMN()-1)/31.001)+$A$3,ROUNDUP(MOD(COLUMN()-1,31.001),0)),2),Auxiliar!$D$1:$E$7,2,0),'Feriados y días laborables'!$D$3:$E$9,2,0)="Si"))</f>
        <v>1</v>
      </c>
      <c r="GM6" s="7" t="b">
        <f>AND(NOT(ISNUMBER(MATCH(DATE($A$4,INT((COLUMN()-1)/31.001)+$A$3,ROUNDUP(MOD(COLUMN()-1,31.001),0)),Feriados,0))),(VLOOKUP(VLOOKUP(WEEKDAY(DATE($A$4,INT((COLUMN()-1)/31.001)+$A$3,ROUNDUP(MOD(COLUMN()-1,31.001),0)),2),Auxiliar!$D$1:$E$7,2,0),'Feriados y días laborables'!$D$3:$E$9,2,0)="Si"))</f>
        <v>1</v>
      </c>
      <c r="GN6" s="7" t="b">
        <f>AND(NOT(ISNUMBER(MATCH(DATE($A$4,INT((COLUMN()-1)/31.001)+$A$3,ROUNDUP(MOD(COLUMN()-1,31.001),0)),Feriados,0))),(VLOOKUP(VLOOKUP(WEEKDAY(DATE($A$4,INT((COLUMN()-1)/31.001)+$A$3,ROUNDUP(MOD(COLUMN()-1,31.001),0)),2),Auxiliar!$D$1:$E$7,2,0),'Feriados y días laborables'!$D$3:$E$9,2,0)="Si"))</f>
        <v>1</v>
      </c>
      <c r="GO6" s="7" t="b">
        <f>AND(NOT(ISNUMBER(MATCH(DATE($A$4,INT((COLUMN()-1)/31.001)+$A$3,ROUNDUP(MOD(COLUMN()-1,31.001),0)),Feriados,0))),(VLOOKUP(VLOOKUP(WEEKDAY(DATE($A$4,INT((COLUMN()-1)/31.001)+$A$3,ROUNDUP(MOD(COLUMN()-1,31.001),0)),2),Auxiliar!$D$1:$E$7,2,0),'Feriados y días laborables'!$D$3:$E$9,2,0)="Si"))</f>
        <v>1</v>
      </c>
      <c r="GP6" s="7" t="b">
        <f>AND(NOT(ISNUMBER(MATCH(DATE($A$4,INT((COLUMN()-1)/31.001)+$A$3,ROUNDUP(MOD(COLUMN()-1,31.001),0)),Feriados,0))),(VLOOKUP(VLOOKUP(WEEKDAY(DATE($A$4,INT((COLUMN()-1)/31.001)+$A$3,ROUNDUP(MOD(COLUMN()-1,31.001),0)),2),Auxiliar!$D$1:$E$7,2,0),'Feriados y días laborables'!$D$3:$E$9,2,0)="Si"))</f>
        <v>1</v>
      </c>
      <c r="GQ6" s="7" t="b">
        <f>AND(NOT(ISNUMBER(MATCH(DATE($A$4,INT((COLUMN()-1)/31.001)+$A$3,ROUNDUP(MOD(COLUMN()-1,31.001),0)),Feriados,0))),(VLOOKUP(VLOOKUP(WEEKDAY(DATE($A$4,INT((COLUMN()-1)/31.001)+$A$3,ROUNDUP(MOD(COLUMN()-1,31.001),0)),2),Auxiliar!$D$1:$E$7,2,0),'Feriados y días laborables'!$D$3:$E$9,2,0)="Si"))</f>
        <v>1</v>
      </c>
      <c r="GR6" s="7" t="b">
        <f>AND(NOT(ISNUMBER(MATCH(DATE($A$4,INT((COLUMN()-1)/31.001)+$A$3,ROUNDUP(MOD(COLUMN()-1,31.001),0)),Feriados,0))),(VLOOKUP(VLOOKUP(WEEKDAY(DATE($A$4,INT((COLUMN()-1)/31.001)+$A$3,ROUNDUP(MOD(COLUMN()-1,31.001),0)),2),Auxiliar!$D$1:$E$7,2,0),'Feriados y días laborables'!$D$3:$E$9,2,0)="Si"))</f>
        <v>1</v>
      </c>
      <c r="GS6" s="7" t="b">
        <f>AND(NOT(ISNUMBER(MATCH(DATE($A$4,INT((COLUMN()-1)/31.001)+$A$3,ROUNDUP(MOD(COLUMN()-1,31.001),0)),Feriados,0))),(VLOOKUP(VLOOKUP(WEEKDAY(DATE($A$4,INT((COLUMN()-1)/31.001)+$A$3,ROUNDUP(MOD(COLUMN()-1,31.001),0)),2),Auxiliar!$D$1:$E$7,2,0),'Feriados y días laborables'!$D$3:$E$9,2,0)="Si"))</f>
        <v>1</v>
      </c>
      <c r="GT6" s="7" t="b">
        <f>AND(NOT(ISNUMBER(MATCH(DATE($A$4,INT((COLUMN()-1)/31.001)+$A$3,ROUNDUP(MOD(COLUMN()-1,31.001),0)),Feriados,0))),(VLOOKUP(VLOOKUP(WEEKDAY(DATE($A$4,INT((COLUMN()-1)/31.001)+$A$3,ROUNDUP(MOD(COLUMN()-1,31.001),0)),2),Auxiliar!$D$1:$E$7,2,0),'Feriados y días laborables'!$D$3:$E$9,2,0)="Si"))</f>
        <v>1</v>
      </c>
      <c r="GU6" s="7" t="b">
        <f>AND(NOT(ISNUMBER(MATCH(DATE($A$4,INT((COLUMN()-1)/31.001)+$A$3,ROUNDUP(MOD(COLUMN()-1,31.001),0)),Feriados,0))),(VLOOKUP(VLOOKUP(WEEKDAY(DATE($A$4,INT((COLUMN()-1)/31.001)+$A$3,ROUNDUP(MOD(COLUMN()-1,31.001),0)),2),Auxiliar!$D$1:$E$7,2,0),'Feriados y días laborables'!$D$3:$E$9,2,0)="Si"))</f>
        <v>1</v>
      </c>
      <c r="GV6" s="7" t="b">
        <f>AND(NOT(ISNUMBER(MATCH(DATE($A$4,INT((COLUMN()-1)/31.001)+$A$3,ROUNDUP(MOD(COLUMN()-1,31.001),0)),Feriados,0))),(VLOOKUP(VLOOKUP(WEEKDAY(DATE($A$4,INT((COLUMN()-1)/31.001)+$A$3,ROUNDUP(MOD(COLUMN()-1,31.001),0)),2),Auxiliar!$D$1:$E$7,2,0),'Feriados y días laborables'!$D$3:$E$9,2,0)="Si"))</f>
        <v>1</v>
      </c>
      <c r="GW6" s="7" t="b">
        <f>AND(NOT(ISNUMBER(MATCH(DATE($A$4,INT((COLUMN()-1)/31.001)+$A$3,ROUNDUP(MOD(COLUMN()-1,31.001),0)),Feriados,0))),(VLOOKUP(VLOOKUP(WEEKDAY(DATE($A$4,INT((COLUMN()-1)/31.001)+$A$3,ROUNDUP(MOD(COLUMN()-1,31.001),0)),2),Auxiliar!$D$1:$E$7,2,0),'Feriados y días laborables'!$D$3:$E$9,2,0)="Si"))</f>
        <v>1</v>
      </c>
      <c r="GX6" s="7" t="b">
        <f>AND(NOT(ISNUMBER(MATCH(DATE($A$4,INT((COLUMN()-1)/31.001)+$A$3,ROUNDUP(MOD(COLUMN()-1,31.001),0)),Feriados,0))),(VLOOKUP(VLOOKUP(WEEKDAY(DATE($A$4,INT((COLUMN()-1)/31.001)+$A$3,ROUNDUP(MOD(COLUMN()-1,31.001),0)),2),Auxiliar!$D$1:$E$7,2,0),'Feriados y días laborables'!$D$3:$E$9,2,0)="Si"))</f>
        <v>1</v>
      </c>
      <c r="GY6" s="7" t="b">
        <f>AND(NOT(ISNUMBER(MATCH(DATE($A$4,INT((COLUMN()-1)/31.001)+$A$3,ROUNDUP(MOD(COLUMN()-1,31.001),0)),Feriados,0))),(VLOOKUP(VLOOKUP(WEEKDAY(DATE($A$4,INT((COLUMN()-1)/31.001)+$A$3,ROUNDUP(MOD(COLUMN()-1,31.001),0)),2),Auxiliar!$D$1:$E$7,2,0),'Feriados y días laborables'!$D$3:$E$9,2,0)="Si"))</f>
        <v>1</v>
      </c>
      <c r="GZ6" s="7" t="b">
        <f>AND(NOT(ISNUMBER(MATCH(DATE($A$4,INT((COLUMN()-1)/31.001)+$A$3,ROUNDUP(MOD(COLUMN()-1,31.001),0)),Feriados,0))),(VLOOKUP(VLOOKUP(WEEKDAY(DATE($A$4,INT((COLUMN()-1)/31.001)+$A$3,ROUNDUP(MOD(COLUMN()-1,31.001),0)),2),Auxiliar!$D$1:$E$7,2,0),'Feriados y días laborables'!$D$3:$E$9,2,0)="Si"))</f>
        <v>1</v>
      </c>
      <c r="HA6" s="7" t="b">
        <f>AND(NOT(ISNUMBER(MATCH(DATE($A$4,INT((COLUMN()-1)/31.001)+$A$3,ROUNDUP(MOD(COLUMN()-1,31.001),0)),Feriados,0))),(VLOOKUP(VLOOKUP(WEEKDAY(DATE($A$4,INT((COLUMN()-1)/31.001)+$A$3,ROUNDUP(MOD(COLUMN()-1,31.001),0)),2),Auxiliar!$D$1:$E$7,2,0),'Feriados y días laborables'!$D$3:$E$9,2,0)="Si"))</f>
        <v>1</v>
      </c>
      <c r="HB6" s="7" t="b">
        <f>AND(NOT(ISNUMBER(MATCH(DATE($A$4,INT((COLUMN()-1)/31.001)+$A$3,ROUNDUP(MOD(COLUMN()-1,31.001),0)),Feriados,0))),(VLOOKUP(VLOOKUP(WEEKDAY(DATE($A$4,INT((COLUMN()-1)/31.001)+$A$3,ROUNDUP(MOD(COLUMN()-1,31.001),0)),2),Auxiliar!$D$1:$E$7,2,0),'Feriados y días laborables'!$D$3:$E$9,2,0)="Si"))</f>
        <v>1</v>
      </c>
      <c r="HC6" s="7" t="b">
        <f>AND(NOT(ISNUMBER(MATCH(DATE($A$4,INT((COLUMN()-1)/31.001)+$A$3,ROUNDUP(MOD(COLUMN()-1,31.001),0)),Feriados,0))),(VLOOKUP(VLOOKUP(WEEKDAY(DATE($A$4,INT((COLUMN()-1)/31.001)+$A$3,ROUNDUP(MOD(COLUMN()-1,31.001),0)),2),Auxiliar!$D$1:$E$7,2,0),'Feriados y días laborables'!$D$3:$E$9,2,0)="Si"))</f>
        <v>1</v>
      </c>
      <c r="HD6" s="7" t="b">
        <f>AND(NOT(ISNUMBER(MATCH(DATE($A$4,INT((COLUMN()-1)/31.001)+$A$3,ROUNDUP(MOD(COLUMN()-1,31.001),0)),Feriados,0))),(VLOOKUP(VLOOKUP(WEEKDAY(DATE($A$4,INT((COLUMN()-1)/31.001)+$A$3,ROUNDUP(MOD(COLUMN()-1,31.001),0)),2),Auxiliar!$D$1:$E$7,2,0),'Feriados y días laborables'!$D$3:$E$9,2,0)="Si"))</f>
        <v>1</v>
      </c>
      <c r="HE6" s="7" t="b">
        <f>AND(NOT(ISNUMBER(MATCH(DATE($A$4,INT((COLUMN()-1)/31.001)+$A$3,ROUNDUP(MOD(COLUMN()-1,31.001),0)),Feriados,0))),(VLOOKUP(VLOOKUP(WEEKDAY(DATE($A$4,INT((COLUMN()-1)/31.001)+$A$3,ROUNDUP(MOD(COLUMN()-1,31.001),0)),2),Auxiliar!$D$1:$E$7,2,0),'Feriados y días laborables'!$D$3:$E$9,2,0)="Si"))</f>
        <v>1</v>
      </c>
      <c r="HF6" s="7" t="b">
        <f>AND(NOT(ISNUMBER(MATCH(DATE($A$4,INT((COLUMN()-1)/31.001)+$A$3,ROUNDUP(MOD(COLUMN()-1,31.001),0)),Feriados,0))),(VLOOKUP(VLOOKUP(WEEKDAY(DATE($A$4,INT((COLUMN()-1)/31.001)+$A$3,ROUNDUP(MOD(COLUMN()-1,31.001),0)),2),Auxiliar!$D$1:$E$7,2,0),'Feriados y días laborables'!$D$3:$E$9,2,0)="Si"))</f>
        <v>1</v>
      </c>
      <c r="HG6" s="7" t="b">
        <f>AND(NOT(ISNUMBER(MATCH(DATE($A$4,INT((COLUMN()-1)/31.001)+$A$3,ROUNDUP(MOD(COLUMN()-1,31.001),0)),Feriados,0))),(VLOOKUP(VLOOKUP(WEEKDAY(DATE($A$4,INT((COLUMN()-1)/31.001)+$A$3,ROUNDUP(MOD(COLUMN()-1,31.001),0)),2),Auxiliar!$D$1:$E$7,2,0),'Feriados y días laborables'!$D$3:$E$9,2,0)="Si"))</f>
        <v>1</v>
      </c>
      <c r="HH6" s="7" t="b">
        <f>AND(NOT(ISNUMBER(MATCH(DATE($A$4,INT((COLUMN()-1)/31.001)+$A$3,ROUNDUP(MOD(COLUMN()-1,31.001),0)),Feriados,0))),(VLOOKUP(VLOOKUP(WEEKDAY(DATE($A$4,INT((COLUMN()-1)/31.001)+$A$3,ROUNDUP(MOD(COLUMN()-1,31.001),0)),2),Auxiliar!$D$1:$E$7,2,0),'Feriados y días laborables'!$D$3:$E$9,2,0)="Si"))</f>
        <v>1</v>
      </c>
      <c r="HI6" s="7" t="b">
        <f>AND(NOT(ISNUMBER(MATCH(DATE($A$4,INT((COLUMN()-1)/31.001)+$A$3,ROUNDUP(MOD(COLUMN()-1,31.001),0)),Feriados,0))),(VLOOKUP(VLOOKUP(WEEKDAY(DATE($A$4,INT((COLUMN()-1)/31.001)+$A$3,ROUNDUP(MOD(COLUMN()-1,31.001),0)),2),Auxiliar!$D$1:$E$7,2,0),'Feriados y días laborables'!$D$3:$E$9,2,0)="Si"))</f>
        <v>1</v>
      </c>
      <c r="HJ6" s="7" t="b">
        <f>AND(NOT(ISNUMBER(MATCH(DATE($A$4,INT((COLUMN()-1)/31.001)+$A$3,ROUNDUP(MOD(COLUMN()-1,31.001),0)),Feriados,0))),(VLOOKUP(VLOOKUP(WEEKDAY(DATE($A$4,INT((COLUMN()-1)/31.001)+$A$3,ROUNDUP(MOD(COLUMN()-1,31.001),0)),2),Auxiliar!$D$1:$E$7,2,0),'Feriados y días laborables'!$D$3:$E$9,2,0)="Si"))</f>
        <v>1</v>
      </c>
      <c r="HK6" s="7" t="b">
        <f>AND(NOT(ISNUMBER(MATCH(DATE($A$4,INT((COLUMN()-1)/31.001)+$A$3,ROUNDUP(MOD(COLUMN()-1,31.001),0)),Feriados,0))),(VLOOKUP(VLOOKUP(WEEKDAY(DATE($A$4,INT((COLUMN()-1)/31.001)+$A$3,ROUNDUP(MOD(COLUMN()-1,31.001),0)),2),Auxiliar!$D$1:$E$7,2,0),'Feriados y días laborables'!$D$3:$E$9,2,0)="Si"))</f>
        <v>1</v>
      </c>
      <c r="HL6" s="7" t="b">
        <f>AND(NOT(ISNUMBER(MATCH(DATE($A$4,INT((COLUMN()-1)/31.001)+$A$3,ROUNDUP(MOD(COLUMN()-1,31.001),0)),Feriados,0))),(VLOOKUP(VLOOKUP(WEEKDAY(DATE($A$4,INT((COLUMN()-1)/31.001)+$A$3,ROUNDUP(MOD(COLUMN()-1,31.001),0)),2),Auxiliar!$D$1:$E$7,2,0),'Feriados y días laborables'!$D$3:$E$9,2,0)="Si"))</f>
        <v>1</v>
      </c>
      <c r="HM6" s="7" t="b">
        <f>AND(NOT(ISNUMBER(MATCH(DATE($A$4,INT((COLUMN()-1)/31.001)+$A$3,ROUNDUP(MOD(COLUMN()-1,31.001),0)),Feriados,0))),(VLOOKUP(VLOOKUP(WEEKDAY(DATE($A$4,INT((COLUMN()-1)/31.001)+$A$3,ROUNDUP(MOD(COLUMN()-1,31.001),0)),2),Auxiliar!$D$1:$E$7,2,0),'Feriados y días laborables'!$D$3:$E$9,2,0)="Si"))</f>
        <v>1</v>
      </c>
      <c r="HN6" s="7" t="b">
        <f>AND(NOT(ISNUMBER(MATCH(DATE($A$4,INT((COLUMN()-1)/31.001)+$A$3,ROUNDUP(MOD(COLUMN()-1,31.001),0)),Feriados,0))),(VLOOKUP(VLOOKUP(WEEKDAY(DATE($A$4,INT((COLUMN()-1)/31.001)+$A$3,ROUNDUP(MOD(COLUMN()-1,31.001),0)),2),Auxiliar!$D$1:$E$7,2,0),'Feriados y días laborables'!$D$3:$E$9,2,0)="Si"))</f>
        <v>1</v>
      </c>
      <c r="HO6" s="7" t="b">
        <f>AND(NOT(ISNUMBER(MATCH(DATE($A$4,INT((COLUMN()-1)/31.001)+$A$3,ROUNDUP(MOD(COLUMN()-1,31.001),0)),Feriados,0))),(VLOOKUP(VLOOKUP(WEEKDAY(DATE($A$4,INT((COLUMN()-1)/31.001)+$A$3,ROUNDUP(MOD(COLUMN()-1,31.001),0)),2),Auxiliar!$D$1:$E$7,2,0),'Feriados y días laborables'!$D$3:$E$9,2,0)="Si"))</f>
        <v>1</v>
      </c>
      <c r="HP6" s="7" t="b">
        <f>AND(NOT(ISNUMBER(MATCH(DATE($A$4,INT((COLUMN()-1)/31.001)+$A$3,ROUNDUP(MOD(COLUMN()-1,31.001),0)),Feriados,0))),(VLOOKUP(VLOOKUP(WEEKDAY(DATE($A$4,INT((COLUMN()-1)/31.001)+$A$3,ROUNDUP(MOD(COLUMN()-1,31.001),0)),2),Auxiliar!$D$1:$E$7,2,0),'Feriados y días laborables'!$D$3:$E$9,2,0)="Si"))</f>
        <v>1</v>
      </c>
      <c r="HQ6" s="7" t="b">
        <f>AND(NOT(ISNUMBER(MATCH(DATE($A$4,INT((COLUMN()-1)/31.001)+$A$3,ROUNDUP(MOD(COLUMN()-1,31.001),0)),Feriados,0))),(VLOOKUP(VLOOKUP(WEEKDAY(DATE($A$4,INT((COLUMN()-1)/31.001)+$A$3,ROUNDUP(MOD(COLUMN()-1,31.001),0)),2),Auxiliar!$D$1:$E$7,2,0),'Feriados y días laborables'!$D$3:$E$9,2,0)="Si"))</f>
        <v>1</v>
      </c>
      <c r="HR6" s="7" t="b">
        <f>AND(NOT(ISNUMBER(MATCH(DATE($A$4,INT((COLUMN()-1)/31.001)+$A$3,ROUNDUP(MOD(COLUMN()-1,31.001),0)),Feriados,0))),(VLOOKUP(VLOOKUP(WEEKDAY(DATE($A$4,INT((COLUMN()-1)/31.001)+$A$3,ROUNDUP(MOD(COLUMN()-1,31.001),0)),2),Auxiliar!$D$1:$E$7,2,0),'Feriados y días laborables'!$D$3:$E$9,2,0)="Si"))</f>
        <v>1</v>
      </c>
      <c r="HS6" s="7" t="b">
        <f>AND(NOT(ISNUMBER(MATCH(DATE($A$4,INT((COLUMN()-1)/31.001)+$A$3,ROUNDUP(MOD(COLUMN()-1,31.001),0)),Feriados,0))),(VLOOKUP(VLOOKUP(WEEKDAY(DATE($A$4,INT((COLUMN()-1)/31.001)+$A$3,ROUNDUP(MOD(COLUMN()-1,31.001),0)),2),Auxiliar!$D$1:$E$7,2,0),'Feriados y días laborables'!$D$3:$E$9,2,0)="Si"))</f>
        <v>1</v>
      </c>
      <c r="HT6" s="7" t="b">
        <f>AND(NOT(ISNUMBER(MATCH(DATE($A$4,INT((COLUMN()-1)/31.001)+$A$3,ROUNDUP(MOD(COLUMN()-1,31.001),0)),Feriados,0))),(VLOOKUP(VLOOKUP(WEEKDAY(DATE($A$4,INT((COLUMN()-1)/31.001)+$A$3,ROUNDUP(MOD(COLUMN()-1,31.001),0)),2),Auxiliar!$D$1:$E$7,2,0),'Feriados y días laborables'!$D$3:$E$9,2,0)="Si"))</f>
        <v>1</v>
      </c>
      <c r="HU6" s="7" t="b">
        <f>AND(NOT(ISNUMBER(MATCH(DATE($A$4,INT((COLUMN()-1)/31.001)+$A$3,ROUNDUP(MOD(COLUMN()-1,31.001),0)),Feriados,0))),(VLOOKUP(VLOOKUP(WEEKDAY(DATE($A$4,INT((COLUMN()-1)/31.001)+$A$3,ROUNDUP(MOD(COLUMN()-1,31.001),0)),2),Auxiliar!$D$1:$E$7,2,0),'Feriados y días laborables'!$D$3:$E$9,2,0)="Si"))</f>
        <v>1</v>
      </c>
      <c r="HV6" s="7" t="b">
        <f>AND(NOT(ISNUMBER(MATCH(DATE($A$4,INT((COLUMN()-1)/31.001)+$A$3,ROUNDUP(MOD(COLUMN()-1,31.001),0)),Feriados,0))),(VLOOKUP(VLOOKUP(WEEKDAY(DATE($A$4,INT((COLUMN()-1)/31.001)+$A$3,ROUNDUP(MOD(COLUMN()-1,31.001),0)),2),Auxiliar!$D$1:$E$7,2,0),'Feriados y días laborables'!$D$3:$E$9,2,0)="Si"))</f>
        <v>1</v>
      </c>
      <c r="HW6" s="7" t="b">
        <f>AND(NOT(ISNUMBER(MATCH(DATE($A$4,INT((COLUMN()-1)/31.001)+$A$3,ROUNDUP(MOD(COLUMN()-1,31.001),0)),Feriados,0))),(VLOOKUP(VLOOKUP(WEEKDAY(DATE($A$4,INT((COLUMN()-1)/31.001)+$A$3,ROUNDUP(MOD(COLUMN()-1,31.001),0)),2),Auxiliar!$D$1:$E$7,2,0),'Feriados y días laborables'!$D$3:$E$9,2,0)="Si"))</f>
        <v>1</v>
      </c>
      <c r="HX6" s="7" t="b">
        <f>AND(NOT(ISNUMBER(MATCH(DATE($A$4,INT((COLUMN()-1)/31.001)+$A$3,ROUNDUP(MOD(COLUMN()-1,31.001),0)),Feriados,0))),(VLOOKUP(VLOOKUP(WEEKDAY(DATE($A$4,INT((COLUMN()-1)/31.001)+$A$3,ROUNDUP(MOD(COLUMN()-1,31.001),0)),2),Auxiliar!$D$1:$E$7,2,0),'Feriados y días laborables'!$D$3:$E$9,2,0)="Si"))</f>
        <v>1</v>
      </c>
      <c r="HY6" s="7" t="b">
        <f>AND(NOT(ISNUMBER(MATCH(DATE($A$4,INT((COLUMN()-1)/31.001)+$A$3,ROUNDUP(MOD(COLUMN()-1,31.001),0)),Feriados,0))),(VLOOKUP(VLOOKUP(WEEKDAY(DATE($A$4,INT((COLUMN()-1)/31.001)+$A$3,ROUNDUP(MOD(COLUMN()-1,31.001),0)),2),Auxiliar!$D$1:$E$7,2,0),'Feriados y días laborables'!$D$3:$E$9,2,0)="Si"))</f>
        <v>1</v>
      </c>
      <c r="HZ6" s="7" t="b">
        <f>AND(NOT(ISNUMBER(MATCH(DATE($A$4,INT((COLUMN()-1)/31.001)+$A$3,ROUNDUP(MOD(COLUMN()-1,31.001),0)),Feriados,0))),(VLOOKUP(VLOOKUP(WEEKDAY(DATE($A$4,INT((COLUMN()-1)/31.001)+$A$3,ROUNDUP(MOD(COLUMN()-1,31.001),0)),2),Auxiliar!$D$1:$E$7,2,0),'Feriados y días laborables'!$D$3:$E$9,2,0)="Si"))</f>
        <v>1</v>
      </c>
      <c r="IA6" s="7" t="b">
        <f>AND(NOT(ISNUMBER(MATCH(DATE($A$4,INT((COLUMN()-1)/31.001)+$A$3,ROUNDUP(MOD(COLUMN()-1,31.001),0)),Feriados,0))),(VLOOKUP(VLOOKUP(WEEKDAY(DATE($A$4,INT((COLUMN()-1)/31.001)+$A$3,ROUNDUP(MOD(COLUMN()-1,31.001),0)),2),Auxiliar!$D$1:$E$7,2,0),'Feriados y días laborables'!$D$3:$E$9,2,0)="Si"))</f>
        <v>1</v>
      </c>
      <c r="IB6" s="7" t="b">
        <f>AND(NOT(ISNUMBER(MATCH(DATE($A$4,INT((COLUMN()-1)/31.001)+$A$3,ROUNDUP(MOD(COLUMN()-1,31.001),0)),Feriados,0))),(VLOOKUP(VLOOKUP(WEEKDAY(DATE($A$4,INT((COLUMN()-1)/31.001)+$A$3,ROUNDUP(MOD(COLUMN()-1,31.001),0)),2),Auxiliar!$D$1:$E$7,2,0),'Feriados y días laborables'!$D$3:$E$9,2,0)="Si"))</f>
        <v>1</v>
      </c>
      <c r="IC6" s="7" t="b">
        <f>AND(NOT(ISNUMBER(MATCH(DATE($A$4,INT((COLUMN()-1)/31.001)+$A$3,ROUNDUP(MOD(COLUMN()-1,31.001),0)),Feriados,0))),(VLOOKUP(VLOOKUP(WEEKDAY(DATE($A$4,INT((COLUMN()-1)/31.001)+$A$3,ROUNDUP(MOD(COLUMN()-1,31.001),0)),2),Auxiliar!$D$1:$E$7,2,0),'Feriados y días laborables'!$D$3:$E$9,2,0)="Si"))</f>
        <v>1</v>
      </c>
      <c r="ID6" s="7" t="b">
        <f>AND(NOT(ISNUMBER(MATCH(DATE($A$4,INT((COLUMN()-1)/31.001)+$A$3,ROUNDUP(MOD(COLUMN()-1,31.001),0)),Feriados,0))),(VLOOKUP(VLOOKUP(WEEKDAY(DATE($A$4,INT((COLUMN()-1)/31.001)+$A$3,ROUNDUP(MOD(COLUMN()-1,31.001),0)),2),Auxiliar!$D$1:$E$7,2,0),'Feriados y días laborables'!$D$3:$E$9,2,0)="Si"))</f>
        <v>1</v>
      </c>
      <c r="IE6" s="7" t="b">
        <f>AND(NOT(ISNUMBER(MATCH(DATE($A$4,INT((COLUMN()-1)/31.001)+$A$3,ROUNDUP(MOD(COLUMN()-1,31.001),0)),Feriados,0))),(VLOOKUP(VLOOKUP(WEEKDAY(DATE($A$4,INT((COLUMN()-1)/31.001)+$A$3,ROUNDUP(MOD(COLUMN()-1,31.001),0)),2),Auxiliar!$D$1:$E$7,2,0),'Feriados y días laborables'!$D$3:$E$9,2,0)="Si"))</f>
        <v>1</v>
      </c>
      <c r="IF6" s="7" t="b">
        <f>AND(NOT(ISNUMBER(MATCH(DATE($A$4,INT((COLUMN()-1)/31.001)+$A$3,ROUNDUP(MOD(COLUMN()-1,31.001),0)),Feriados,0))),(VLOOKUP(VLOOKUP(WEEKDAY(DATE($A$4,INT((COLUMN()-1)/31.001)+$A$3,ROUNDUP(MOD(COLUMN()-1,31.001),0)),2),Auxiliar!$D$1:$E$7,2,0),'Feriados y días laborables'!$D$3:$E$9,2,0)="Si"))</f>
        <v>1</v>
      </c>
      <c r="IG6" s="7" t="b">
        <f>AND(NOT(ISNUMBER(MATCH(DATE($A$4,INT((COLUMN()-1)/31.001)+$A$3,ROUNDUP(MOD(COLUMN()-1,31.001),0)),Feriados,0))),(VLOOKUP(VLOOKUP(WEEKDAY(DATE($A$4,INT((COLUMN()-1)/31.001)+$A$3,ROUNDUP(MOD(COLUMN()-1,31.001),0)),2),Auxiliar!$D$1:$E$7,2,0),'Feriados y días laborables'!$D$3:$E$9,2,0)="Si"))</f>
        <v>1</v>
      </c>
      <c r="IH6" s="7" t="b">
        <f>AND(NOT(ISNUMBER(MATCH(DATE($A$4,INT((COLUMN()-1)/31.001)+$A$3,ROUNDUP(MOD(COLUMN()-1,31.001),0)),Feriados,0))),(VLOOKUP(VLOOKUP(WEEKDAY(DATE($A$4,INT((COLUMN()-1)/31.001)+$A$3,ROUNDUP(MOD(COLUMN()-1,31.001),0)),2),Auxiliar!$D$1:$E$7,2,0),'Feriados y días laborables'!$D$3:$E$9,2,0)="Si"))</f>
        <v>1</v>
      </c>
      <c r="II6" s="7" t="b">
        <f>AND(NOT(ISNUMBER(MATCH(DATE($A$4,INT((COLUMN()-1)/31.001)+$A$3,ROUNDUP(MOD(COLUMN()-1,31.001),0)),Feriados,0))),(VLOOKUP(VLOOKUP(WEEKDAY(DATE($A$4,INT((COLUMN()-1)/31.001)+$A$3,ROUNDUP(MOD(COLUMN()-1,31.001),0)),2),Auxiliar!$D$1:$E$7,2,0),'Feriados y días laborables'!$D$3:$E$9,2,0)="Si"))</f>
        <v>1</v>
      </c>
      <c r="IJ6" s="7" t="b">
        <f>AND(NOT(ISNUMBER(MATCH(DATE($A$4,INT((COLUMN()-1)/31.001)+$A$3,ROUNDUP(MOD(COLUMN()-1,31.001),0)),Feriados,0))),(VLOOKUP(VLOOKUP(WEEKDAY(DATE($A$4,INT((COLUMN()-1)/31.001)+$A$3,ROUNDUP(MOD(COLUMN()-1,31.001),0)),2),Auxiliar!$D$1:$E$7,2,0),'Feriados y días laborables'!$D$3:$E$9,2,0)="Si"))</f>
        <v>1</v>
      </c>
      <c r="IK6" s="7" t="b">
        <f>AND(NOT(ISNUMBER(MATCH(DATE($A$4,INT((COLUMN()-1)/31.001)+$A$3,ROUNDUP(MOD(COLUMN()-1,31.001),0)),Feriados,0))),(VLOOKUP(VLOOKUP(WEEKDAY(DATE($A$4,INT((COLUMN()-1)/31.001)+$A$3,ROUNDUP(MOD(COLUMN()-1,31.001),0)),2),Auxiliar!$D$1:$E$7,2,0),'Feriados y días laborables'!$D$3:$E$9,2,0)="Si"))</f>
        <v>1</v>
      </c>
      <c r="IL6" s="7" t="b">
        <f>AND(NOT(ISNUMBER(MATCH(DATE($A$4,INT((COLUMN()-1)/31.001)+$A$3,ROUNDUP(MOD(COLUMN()-1,31.001),0)),Feriados,0))),(VLOOKUP(VLOOKUP(WEEKDAY(DATE($A$4,INT((COLUMN()-1)/31.001)+$A$3,ROUNDUP(MOD(COLUMN()-1,31.001),0)),2),Auxiliar!$D$1:$E$7,2,0),'Feriados y días laborables'!$D$3:$E$9,2,0)="Si"))</f>
        <v>1</v>
      </c>
      <c r="IM6" s="7" t="b">
        <f>AND(NOT(ISNUMBER(MATCH(DATE($A$4,INT((COLUMN()-1)/31.001)+$A$3,ROUNDUP(MOD(COLUMN()-1,31.001),0)),Feriados,0))),(VLOOKUP(VLOOKUP(WEEKDAY(DATE($A$4,INT((COLUMN()-1)/31.001)+$A$3,ROUNDUP(MOD(COLUMN()-1,31.001),0)),2),Auxiliar!$D$1:$E$7,2,0),'Feriados y días laborables'!$D$3:$E$9,2,0)="Si"))</f>
        <v>1</v>
      </c>
      <c r="IN6" s="7" t="b">
        <f>AND(NOT(ISNUMBER(MATCH(DATE($A$4,INT((COLUMN()-1)/31.001)+$A$3,ROUNDUP(MOD(COLUMN()-1,31.001),0)),Feriados,0))),(VLOOKUP(VLOOKUP(WEEKDAY(DATE($A$4,INT((COLUMN()-1)/31.001)+$A$3,ROUNDUP(MOD(COLUMN()-1,31.001),0)),2),Auxiliar!$D$1:$E$7,2,0),'Feriados y días laborables'!$D$3:$E$9,2,0)="Si"))</f>
        <v>1</v>
      </c>
      <c r="IO6" s="7" t="b">
        <f>AND(NOT(ISNUMBER(MATCH(DATE($A$4,INT((COLUMN()-1)/31.001)+$A$3,ROUNDUP(MOD(COLUMN()-1,31.001),0)),Feriados,0))),(VLOOKUP(VLOOKUP(WEEKDAY(DATE($A$4,INT((COLUMN()-1)/31.001)+$A$3,ROUNDUP(MOD(COLUMN()-1,31.001),0)),2),Auxiliar!$D$1:$E$7,2,0),'Feriados y días laborables'!$D$3:$E$9,2,0)="Si"))</f>
        <v>1</v>
      </c>
      <c r="IP6" s="7" t="b">
        <f>AND(NOT(ISNUMBER(MATCH(DATE($A$4,INT((COLUMN()-1)/31.001)+$A$3,ROUNDUP(MOD(COLUMN()-1,31.001),0)),Feriados,0))),(VLOOKUP(VLOOKUP(WEEKDAY(DATE($A$4,INT((COLUMN()-1)/31.001)+$A$3,ROUNDUP(MOD(COLUMN()-1,31.001),0)),2),Auxiliar!$D$1:$E$7,2,0),'Feriados y días laborables'!$D$3:$E$9,2,0)="Si"))</f>
        <v>1</v>
      </c>
      <c r="IQ6" s="7" t="b">
        <f>AND(NOT(ISNUMBER(MATCH(DATE($A$4,INT((COLUMN()-1)/31.001)+$A$3,ROUNDUP(MOD(COLUMN()-1,31.001),0)),Feriados,0))),(VLOOKUP(VLOOKUP(WEEKDAY(DATE($A$4,INT((COLUMN()-1)/31.001)+$A$3,ROUNDUP(MOD(COLUMN()-1,31.001),0)),2),Auxiliar!$D$1:$E$7,2,0),'Feriados y días laborables'!$D$3:$E$9,2,0)="Si"))</f>
        <v>1</v>
      </c>
      <c r="IR6" s="7" t="b">
        <f>AND(NOT(ISNUMBER(MATCH(DATE($A$4,INT((COLUMN()-1)/31.001)+$A$3,ROUNDUP(MOD(COLUMN()-1,31.001),0)),Feriados,0))),(VLOOKUP(VLOOKUP(WEEKDAY(DATE($A$4,INT((COLUMN()-1)/31.001)+$A$3,ROUNDUP(MOD(COLUMN()-1,31.001),0)),2),Auxiliar!$D$1:$E$7,2,0),'Feriados y días laborables'!$D$3:$E$9,2,0)="Si"))</f>
        <v>1</v>
      </c>
      <c r="IS6" s="7" t="b">
        <f>AND(NOT(ISNUMBER(MATCH(DATE($A$4,INT((COLUMN()-1)/31.001)+$A$3,ROUNDUP(MOD(COLUMN()-1,31.001),0)),Feriados,0))),(VLOOKUP(VLOOKUP(WEEKDAY(DATE($A$4,INT((COLUMN()-1)/31.001)+$A$3,ROUNDUP(MOD(COLUMN()-1,31.001),0)),2),Auxiliar!$D$1:$E$7,2,0),'Feriados y días laborables'!$D$3:$E$9,2,0)="Si"))</f>
        <v>1</v>
      </c>
      <c r="IT6" s="7" t="b">
        <f>AND(NOT(ISNUMBER(MATCH(DATE($A$4,INT((COLUMN()-1)/31.001)+$A$3,ROUNDUP(MOD(COLUMN()-1,31.001),0)),Feriados,0))),(VLOOKUP(VLOOKUP(WEEKDAY(DATE($A$4,INT((COLUMN()-1)/31.001)+$A$3,ROUNDUP(MOD(COLUMN()-1,31.001),0)),2),Auxiliar!$D$1:$E$7,2,0),'Feriados y días laborables'!$D$3:$E$9,2,0)="Si"))</f>
        <v>1</v>
      </c>
      <c r="IU6" s="7" t="b">
        <f>AND(NOT(ISNUMBER(MATCH(DATE($A$4,INT((COLUMN()-1)/31.001)+$A$3,ROUNDUP(MOD(COLUMN()-1,31.001),0)),Feriados,0))),(VLOOKUP(VLOOKUP(WEEKDAY(DATE($A$4,INT((COLUMN()-1)/31.001)+$A$3,ROUNDUP(MOD(COLUMN()-1,31.001),0)),2),Auxiliar!$D$1:$E$7,2,0),'Feriados y días laborables'!$D$3:$E$9,2,0)="Si"))</f>
        <v>1</v>
      </c>
      <c r="IV6" s="7" t="b">
        <f>AND(NOT(ISNUMBER(MATCH(DATE($A$4,INT((COLUMN()-1)/31.001)+$A$3,ROUNDUP(MOD(COLUMN()-1,31.001),0)),Feriados,0))),(VLOOKUP(VLOOKUP(WEEKDAY(DATE($A$4,INT((COLUMN()-1)/31.001)+$A$3,ROUNDUP(MOD(COLUMN()-1,31.001),0)),2),Auxiliar!$D$1:$E$7,2,0),'Feriados y días laborables'!$D$3:$E$9,2,0)="Si"))</f>
        <v>1</v>
      </c>
      <c r="IW6" s="7" t="b">
        <f>AND(NOT(ISNUMBER(MATCH(DATE($A$4,INT((COLUMN()-1)/31.001)+$A$3,ROUNDUP(MOD(COLUMN()-1,31.001),0)),Feriados,0))),(VLOOKUP(VLOOKUP(WEEKDAY(DATE($A$4,INT((COLUMN()-1)/31.001)+$A$3,ROUNDUP(MOD(COLUMN()-1,31.001),0)),2),Auxiliar!$D$1:$E$7,2,0),'Feriados y días laborables'!$D$3:$E$9,2,0)="Si"))</f>
        <v>1</v>
      </c>
      <c r="IX6" s="7" t="b">
        <f>AND(NOT(ISNUMBER(MATCH(DATE($A$4,INT((COLUMN()-1)/31.001)+$A$3,ROUNDUP(MOD(COLUMN()-1,31.001),0)),Feriados,0))),(VLOOKUP(VLOOKUP(WEEKDAY(DATE($A$4,INT((COLUMN()-1)/31.001)+$A$3,ROUNDUP(MOD(COLUMN()-1,31.001),0)),2),Auxiliar!$D$1:$E$7,2,0),'Feriados y días laborables'!$D$3:$E$9,2,0)="Si"))</f>
        <v>1</v>
      </c>
      <c r="IY6" s="7" t="b">
        <f>AND(NOT(ISNUMBER(MATCH(DATE($A$4,INT((COLUMN()-1)/31.001)+$A$3,ROUNDUP(MOD(COLUMN()-1,31.001),0)),Feriados,0))),(VLOOKUP(VLOOKUP(WEEKDAY(DATE($A$4,INT((COLUMN()-1)/31.001)+$A$3,ROUNDUP(MOD(COLUMN()-1,31.001),0)),2),Auxiliar!$D$1:$E$7,2,0),'Feriados y días laborables'!$D$3:$E$9,2,0)="Si"))</f>
        <v>1</v>
      </c>
      <c r="IZ6" s="7" t="b">
        <f>AND(NOT(ISNUMBER(MATCH(DATE($A$4,INT((COLUMN()-1)/31.001)+$A$3,ROUNDUP(MOD(COLUMN()-1,31.001),0)),Feriados,0))),(VLOOKUP(VLOOKUP(WEEKDAY(DATE($A$4,INT((COLUMN()-1)/31.001)+$A$3,ROUNDUP(MOD(COLUMN()-1,31.001),0)),2),Auxiliar!$D$1:$E$7,2,0),'Feriados y días laborables'!$D$3:$E$9,2,0)="Si"))</f>
        <v>1</v>
      </c>
      <c r="JA6" s="7" t="b">
        <f>AND(NOT(ISNUMBER(MATCH(DATE($A$4,INT((COLUMN()-1)/31.001)+$A$3,ROUNDUP(MOD(COLUMN()-1,31.001),0)),Feriados,0))),(VLOOKUP(VLOOKUP(WEEKDAY(DATE($A$4,INT((COLUMN()-1)/31.001)+$A$3,ROUNDUP(MOD(COLUMN()-1,31.001),0)),2),Auxiliar!$D$1:$E$7,2,0),'Feriados y días laborables'!$D$3:$E$9,2,0)="Si"))</f>
        <v>1</v>
      </c>
      <c r="JB6" s="7" t="b">
        <f>AND(NOT(ISNUMBER(MATCH(DATE($A$4,INT((COLUMN()-1)/31.001)+$A$3,ROUNDUP(MOD(COLUMN()-1,31.001),0)),Feriados,0))),(VLOOKUP(VLOOKUP(WEEKDAY(DATE($A$4,INT((COLUMN()-1)/31.001)+$A$3,ROUNDUP(MOD(COLUMN()-1,31.001),0)),2),Auxiliar!$D$1:$E$7,2,0),'Feriados y días laborables'!$D$3:$E$9,2,0)="Si"))</f>
        <v>1</v>
      </c>
      <c r="JC6" s="7" t="b">
        <f>AND(NOT(ISNUMBER(MATCH(DATE($A$4,INT((COLUMN()-1)/31.001)+$A$3,ROUNDUP(MOD(COLUMN()-1,31.001),0)),Feriados,0))),(VLOOKUP(VLOOKUP(WEEKDAY(DATE($A$4,INT((COLUMN()-1)/31.001)+$A$3,ROUNDUP(MOD(COLUMN()-1,31.001),0)),2),Auxiliar!$D$1:$E$7,2,0),'Feriados y días laborables'!$D$3:$E$9,2,0)="Si"))</f>
        <v>1</v>
      </c>
      <c r="JD6" s="7" t="b">
        <f>AND(NOT(ISNUMBER(MATCH(DATE($A$4,INT((COLUMN()-1)/31.001)+$A$3,ROUNDUP(MOD(COLUMN()-1,31.001),0)),Feriados,0))),(VLOOKUP(VLOOKUP(WEEKDAY(DATE($A$4,INT((COLUMN()-1)/31.001)+$A$3,ROUNDUP(MOD(COLUMN()-1,31.001),0)),2),Auxiliar!$D$1:$E$7,2,0),'Feriados y días laborables'!$D$3:$E$9,2,0)="Si"))</f>
        <v>1</v>
      </c>
      <c r="JE6" s="7" t="b">
        <f>AND(NOT(ISNUMBER(MATCH(DATE($A$4,INT((COLUMN()-1)/31.001)+$A$3,ROUNDUP(MOD(COLUMN()-1,31.001),0)),Feriados,0))),(VLOOKUP(VLOOKUP(WEEKDAY(DATE($A$4,INT((COLUMN()-1)/31.001)+$A$3,ROUNDUP(MOD(COLUMN()-1,31.001),0)),2),Auxiliar!$D$1:$E$7,2,0),'Feriados y días laborables'!$D$3:$E$9,2,0)="Si"))</f>
        <v>0</v>
      </c>
      <c r="JF6" s="7" t="b">
        <f>AND(NOT(ISNUMBER(MATCH(DATE($A$4,INT((COLUMN()-1)/31.001)+$A$3,ROUNDUP(MOD(COLUMN()-1,31.001),0)),Feriados,0))),(VLOOKUP(VLOOKUP(WEEKDAY(DATE($A$4,INT((COLUMN()-1)/31.001)+$A$3,ROUNDUP(MOD(COLUMN()-1,31.001),0)),2),Auxiliar!$D$1:$E$7,2,0),'Feriados y días laborables'!$D$3:$E$9,2,0)="Si"))</f>
        <v>1</v>
      </c>
      <c r="JG6" s="7" t="b">
        <f>AND(NOT(ISNUMBER(MATCH(DATE($A$4,INT((COLUMN()-1)/31.001)+$A$3,ROUNDUP(MOD(COLUMN()-1,31.001),0)),Feriados,0))),(VLOOKUP(VLOOKUP(WEEKDAY(DATE($A$4,INT((COLUMN()-1)/31.001)+$A$3,ROUNDUP(MOD(COLUMN()-1,31.001),0)),2),Auxiliar!$D$1:$E$7,2,0),'Feriados y días laborables'!$D$3:$E$9,2,0)="Si"))</f>
        <v>1</v>
      </c>
      <c r="JH6" s="7" t="b">
        <f>AND(NOT(ISNUMBER(MATCH(DATE($A$4,INT((COLUMN()-1)/31.001)+$A$3,ROUNDUP(MOD(COLUMN()-1,31.001),0)),Feriados,0))),(VLOOKUP(VLOOKUP(WEEKDAY(DATE($A$4,INT((COLUMN()-1)/31.001)+$A$3,ROUNDUP(MOD(COLUMN()-1,31.001),0)),2),Auxiliar!$D$1:$E$7,2,0),'Feriados y días laborables'!$D$3:$E$9,2,0)="Si"))</f>
        <v>1</v>
      </c>
      <c r="JI6" s="7" t="b">
        <f>AND(NOT(ISNUMBER(MATCH(DATE($A$4,INT((COLUMN()-1)/31.001)+$A$3,ROUNDUP(MOD(COLUMN()-1,31.001),0)),Feriados,0))),(VLOOKUP(VLOOKUP(WEEKDAY(DATE($A$4,INT((COLUMN()-1)/31.001)+$A$3,ROUNDUP(MOD(COLUMN()-1,31.001),0)),2),Auxiliar!$D$1:$E$7,2,0),'Feriados y días laborables'!$D$3:$E$9,2,0)="Si"))</f>
        <v>1</v>
      </c>
      <c r="JJ6" s="7" t="b">
        <f>AND(NOT(ISNUMBER(MATCH(DATE($A$4,INT((COLUMN()-1)/31.001)+$A$3,ROUNDUP(MOD(COLUMN()-1,31.001),0)),Feriados,0))),(VLOOKUP(VLOOKUP(WEEKDAY(DATE($A$4,INT((COLUMN()-1)/31.001)+$A$3,ROUNDUP(MOD(COLUMN()-1,31.001),0)),2),Auxiliar!$D$1:$E$7,2,0),'Feriados y días laborables'!$D$3:$E$9,2,0)="Si"))</f>
        <v>1</v>
      </c>
      <c r="JK6" s="7" t="b">
        <f>AND(NOT(ISNUMBER(MATCH(DATE($A$4,INT((COLUMN()-1)/31.001)+$A$3,ROUNDUP(MOD(COLUMN()-1,31.001),0)),Feriados,0))),(VLOOKUP(VLOOKUP(WEEKDAY(DATE($A$4,INT((COLUMN()-1)/31.001)+$A$3,ROUNDUP(MOD(COLUMN()-1,31.001),0)),2),Auxiliar!$D$1:$E$7,2,0),'Feriados y días laborables'!$D$3:$E$9,2,0)="Si"))</f>
        <v>1</v>
      </c>
      <c r="JL6" s="7" t="b">
        <f>AND(NOT(ISNUMBER(MATCH(DATE($A$4,INT((COLUMN()-1)/31.001)+$A$3,ROUNDUP(MOD(COLUMN()-1,31.001),0)),Feriados,0))),(VLOOKUP(VLOOKUP(WEEKDAY(DATE($A$4,INT((COLUMN()-1)/31.001)+$A$3,ROUNDUP(MOD(COLUMN()-1,31.001),0)),2),Auxiliar!$D$1:$E$7,2,0),'Feriados y días laborables'!$D$3:$E$9,2,0)="Si"))</f>
        <v>1</v>
      </c>
      <c r="JM6" s="7" t="b">
        <f>AND(NOT(ISNUMBER(MATCH(DATE($A$4,INT((COLUMN()-1)/31.001)+$A$3,ROUNDUP(MOD(COLUMN()-1,31.001),0)),Feriados,0))),(VLOOKUP(VLOOKUP(WEEKDAY(DATE($A$4,INT((COLUMN()-1)/31.001)+$A$3,ROUNDUP(MOD(COLUMN()-1,31.001),0)),2),Auxiliar!$D$1:$E$7,2,0),'Feriados y días laborables'!$D$3:$E$9,2,0)="Si"))</f>
        <v>1</v>
      </c>
      <c r="JN6" s="7" t="b">
        <f>AND(NOT(ISNUMBER(MATCH(DATE($A$4,INT((COLUMN()-1)/31.001)+$A$3,ROUNDUP(MOD(COLUMN()-1,31.001),0)),Feriados,0))),(VLOOKUP(VLOOKUP(WEEKDAY(DATE($A$4,INT((COLUMN()-1)/31.001)+$A$3,ROUNDUP(MOD(COLUMN()-1,31.001),0)),2),Auxiliar!$D$1:$E$7,2,0),'Feriados y días laborables'!$D$3:$E$9,2,0)="Si"))</f>
        <v>1</v>
      </c>
      <c r="JO6" s="7" t="b">
        <f>AND(NOT(ISNUMBER(MATCH(DATE($A$4,INT((COLUMN()-1)/31.001)+$A$3,ROUNDUP(MOD(COLUMN()-1,31.001),0)),Feriados,0))),(VLOOKUP(VLOOKUP(WEEKDAY(DATE($A$4,INT((COLUMN()-1)/31.001)+$A$3,ROUNDUP(MOD(COLUMN()-1,31.001),0)),2),Auxiliar!$D$1:$E$7,2,0),'Feriados y días laborables'!$D$3:$E$9,2,0)="Si"))</f>
        <v>1</v>
      </c>
      <c r="JP6" s="7" t="b">
        <f>AND(NOT(ISNUMBER(MATCH(DATE($A$4,INT((COLUMN()-1)/31.001)+$A$3,ROUNDUP(MOD(COLUMN()-1,31.001),0)),Feriados,0))),(VLOOKUP(VLOOKUP(WEEKDAY(DATE($A$4,INT((COLUMN()-1)/31.001)+$A$3,ROUNDUP(MOD(COLUMN()-1,31.001),0)),2),Auxiliar!$D$1:$E$7,2,0),'Feriados y días laborables'!$D$3:$E$9,2,0)="Si"))</f>
        <v>1</v>
      </c>
      <c r="JQ6" s="7" t="b">
        <f>AND(NOT(ISNUMBER(MATCH(DATE($A$4,INT((COLUMN()-1)/31.001)+$A$3,ROUNDUP(MOD(COLUMN()-1,31.001),0)),Feriados,0))),(VLOOKUP(VLOOKUP(WEEKDAY(DATE($A$4,INT((COLUMN()-1)/31.001)+$A$3,ROUNDUP(MOD(COLUMN()-1,31.001),0)),2),Auxiliar!$D$1:$E$7,2,0),'Feriados y días laborables'!$D$3:$E$9,2,0)="Si"))</f>
        <v>1</v>
      </c>
      <c r="JR6" s="7" t="b">
        <f>AND(NOT(ISNUMBER(MATCH(DATE($A$4,INT((COLUMN()-1)/31.001)+$A$3,ROUNDUP(MOD(COLUMN()-1,31.001),0)),Feriados,0))),(VLOOKUP(VLOOKUP(WEEKDAY(DATE($A$4,INT((COLUMN()-1)/31.001)+$A$3,ROUNDUP(MOD(COLUMN()-1,31.001),0)),2),Auxiliar!$D$1:$E$7,2,0),'Feriados y días laborables'!$D$3:$E$9,2,0)="Si"))</f>
        <v>1</v>
      </c>
      <c r="JS6" s="7" t="b">
        <f>AND(NOT(ISNUMBER(MATCH(DATE($A$4,INT((COLUMN()-1)/31.001)+$A$3,ROUNDUP(MOD(COLUMN()-1,31.001),0)),Feriados,0))),(VLOOKUP(VLOOKUP(WEEKDAY(DATE($A$4,INT((COLUMN()-1)/31.001)+$A$3,ROUNDUP(MOD(COLUMN()-1,31.001),0)),2),Auxiliar!$D$1:$E$7,2,0),'Feriados y días laborables'!$D$3:$E$9,2,0)="Si"))</f>
        <v>1</v>
      </c>
      <c r="JT6" s="7" t="b">
        <f>AND(NOT(ISNUMBER(MATCH(DATE($A$4,INT((COLUMN()-1)/31.001)+$A$3,ROUNDUP(MOD(COLUMN()-1,31.001),0)),Feriados,0))),(VLOOKUP(VLOOKUP(WEEKDAY(DATE($A$4,INT((COLUMN()-1)/31.001)+$A$3,ROUNDUP(MOD(COLUMN()-1,31.001),0)),2),Auxiliar!$D$1:$E$7,2,0),'Feriados y días laborables'!$D$3:$E$9,2,0)="Si"))</f>
        <v>0</v>
      </c>
      <c r="JU6" s="7" t="b">
        <f>AND(NOT(ISNUMBER(MATCH(DATE($A$4,INT((COLUMN()-1)/31.001)+$A$3,ROUNDUP(MOD(COLUMN()-1,31.001),0)),Feriados,0))),(VLOOKUP(VLOOKUP(WEEKDAY(DATE($A$4,INT((COLUMN()-1)/31.001)+$A$3,ROUNDUP(MOD(COLUMN()-1,31.001),0)),2),Auxiliar!$D$1:$E$7,2,0),'Feriados y días laborables'!$D$3:$E$9,2,0)="Si"))</f>
        <v>0</v>
      </c>
      <c r="JV6" s="7" t="b">
        <f>AND(NOT(ISNUMBER(MATCH(DATE($A$4,INT((COLUMN()-1)/31.001)+$A$3,ROUNDUP(MOD(COLUMN()-1,31.001),0)),Feriados,0))),(VLOOKUP(VLOOKUP(WEEKDAY(DATE($A$4,INT((COLUMN()-1)/31.001)+$A$3,ROUNDUP(MOD(COLUMN()-1,31.001),0)),2),Auxiliar!$D$1:$E$7,2,0),'Feriados y días laborables'!$D$3:$E$9,2,0)="Si"))</f>
        <v>1</v>
      </c>
      <c r="JW6" s="7" t="b">
        <f>AND(NOT(ISNUMBER(MATCH(DATE($A$4,INT((COLUMN()-1)/31.001)+$A$3,ROUNDUP(MOD(COLUMN()-1,31.001),0)),Feriados,0))),(VLOOKUP(VLOOKUP(WEEKDAY(DATE($A$4,INT((COLUMN()-1)/31.001)+$A$3,ROUNDUP(MOD(COLUMN()-1,31.001),0)),2),Auxiliar!$D$1:$E$7,2,0),'Feriados y días laborables'!$D$3:$E$9,2,0)="Si"))</f>
        <v>1</v>
      </c>
      <c r="JX6" s="7" t="b">
        <f>AND(NOT(ISNUMBER(MATCH(DATE($A$4,INT((COLUMN()-1)/31.001)+$A$3,ROUNDUP(MOD(COLUMN()-1,31.001),0)),Feriados,0))),(VLOOKUP(VLOOKUP(WEEKDAY(DATE($A$4,INT((COLUMN()-1)/31.001)+$A$3,ROUNDUP(MOD(COLUMN()-1,31.001),0)),2),Auxiliar!$D$1:$E$7,2,0),'Feriados y días laborables'!$D$3:$E$9,2,0)="Si"))</f>
        <v>1</v>
      </c>
      <c r="JY6" s="7" t="b">
        <f>AND(NOT(ISNUMBER(MATCH(DATE($A$4,INT((COLUMN()-1)/31.001)+$A$3,ROUNDUP(MOD(COLUMN()-1,31.001),0)),Feriados,0))),(VLOOKUP(VLOOKUP(WEEKDAY(DATE($A$4,INT((COLUMN()-1)/31.001)+$A$3,ROUNDUP(MOD(COLUMN()-1,31.001),0)),2),Auxiliar!$D$1:$E$7,2,0),'Feriados y días laborables'!$D$3:$E$9,2,0)="Si"))</f>
        <v>1</v>
      </c>
      <c r="JZ6" s="7" t="b">
        <f>AND(NOT(ISNUMBER(MATCH(DATE($A$4,INT((COLUMN()-1)/31.001)+$A$3,ROUNDUP(MOD(COLUMN()-1,31.001),0)),Feriados,0))),(VLOOKUP(VLOOKUP(WEEKDAY(DATE($A$4,INT((COLUMN()-1)/31.001)+$A$3,ROUNDUP(MOD(COLUMN()-1,31.001),0)),2),Auxiliar!$D$1:$E$7,2,0),'Feriados y días laborables'!$D$3:$E$9,2,0)="Si"))</f>
        <v>1</v>
      </c>
      <c r="KA6" s="7" t="b">
        <f>AND(NOT(ISNUMBER(MATCH(DATE($A$4,INT((COLUMN()-1)/31.001)+$A$3,ROUNDUP(MOD(COLUMN()-1,31.001),0)),Feriados,0))),(VLOOKUP(VLOOKUP(WEEKDAY(DATE($A$4,INT((COLUMN()-1)/31.001)+$A$3,ROUNDUP(MOD(COLUMN()-1,31.001),0)),2),Auxiliar!$D$1:$E$7,2,0),'Feriados y días laborables'!$D$3:$E$9,2,0)="Si"))</f>
        <v>1</v>
      </c>
      <c r="KB6" s="7" t="b">
        <f>AND(NOT(ISNUMBER(MATCH(DATE($A$4,INT((COLUMN()-1)/31.001)+$A$3,ROUNDUP(MOD(COLUMN()-1,31.001),0)),Feriados,0))),(VLOOKUP(VLOOKUP(WEEKDAY(DATE($A$4,INT((COLUMN()-1)/31.001)+$A$3,ROUNDUP(MOD(COLUMN()-1,31.001),0)),2),Auxiliar!$D$1:$E$7,2,0),'Feriados y días laborables'!$D$3:$E$9,2,0)="Si"))</f>
        <v>1</v>
      </c>
      <c r="KC6" s="7" t="b">
        <f>AND(NOT(ISNUMBER(MATCH(DATE($A$4,INT((COLUMN()-1)/31.001)+$A$3,ROUNDUP(MOD(COLUMN()-1,31.001),0)),Feriados,0))),(VLOOKUP(VLOOKUP(WEEKDAY(DATE($A$4,INT((COLUMN()-1)/31.001)+$A$3,ROUNDUP(MOD(COLUMN()-1,31.001),0)),2),Auxiliar!$D$1:$E$7,2,0),'Feriados y días laborables'!$D$3:$E$9,2,0)="Si"))</f>
        <v>1</v>
      </c>
      <c r="KD6" s="7" t="b">
        <f>AND(NOT(ISNUMBER(MATCH(DATE($A$4,INT((COLUMN()-1)/31.001)+$A$3,ROUNDUP(MOD(COLUMN()-1,31.001),0)),Feriados,0))),(VLOOKUP(VLOOKUP(WEEKDAY(DATE($A$4,INT((COLUMN()-1)/31.001)+$A$3,ROUNDUP(MOD(COLUMN()-1,31.001),0)),2),Auxiliar!$D$1:$E$7,2,0),'Feriados y días laborables'!$D$3:$E$9,2,0)="Si"))</f>
        <v>1</v>
      </c>
      <c r="KE6" s="7" t="b">
        <f>AND(NOT(ISNUMBER(MATCH(DATE($A$4,INT((COLUMN()-1)/31.001)+$A$3,ROUNDUP(MOD(COLUMN()-1,31.001),0)),Feriados,0))),(VLOOKUP(VLOOKUP(WEEKDAY(DATE($A$4,INT((COLUMN()-1)/31.001)+$A$3,ROUNDUP(MOD(COLUMN()-1,31.001),0)),2),Auxiliar!$D$1:$E$7,2,0),'Feriados y días laborables'!$D$3:$E$9,2,0)="Si"))</f>
        <v>1</v>
      </c>
      <c r="KF6" s="7" t="b">
        <f>AND(NOT(ISNUMBER(MATCH(DATE($A$4,INT((COLUMN()-1)/31.001)+$A$3,ROUNDUP(MOD(COLUMN()-1,31.001),0)),Feriados,0))),(VLOOKUP(VLOOKUP(WEEKDAY(DATE($A$4,INT((COLUMN()-1)/31.001)+$A$3,ROUNDUP(MOD(COLUMN()-1,31.001),0)),2),Auxiliar!$D$1:$E$7,2,0),'Feriados y días laborables'!$D$3:$E$9,2,0)="Si"))</f>
        <v>1</v>
      </c>
      <c r="KG6" s="7" t="b">
        <f>AND(NOT(ISNUMBER(MATCH(DATE($A$4,INT((COLUMN()-1)/31.001)+$A$3,ROUNDUP(MOD(COLUMN()-1,31.001),0)),Feriados,0))),(VLOOKUP(VLOOKUP(WEEKDAY(DATE($A$4,INT((COLUMN()-1)/31.001)+$A$3,ROUNDUP(MOD(COLUMN()-1,31.001),0)),2),Auxiliar!$D$1:$E$7,2,0),'Feriados y días laborables'!$D$3:$E$9,2,0)="Si"))</f>
        <v>1</v>
      </c>
      <c r="KH6" s="7" t="b">
        <f>AND(NOT(ISNUMBER(MATCH(DATE($A$4,INT((COLUMN()-1)/31.001)+$A$3,ROUNDUP(MOD(COLUMN()-1,31.001),0)),Feriados,0))),(VLOOKUP(VLOOKUP(WEEKDAY(DATE($A$4,INT((COLUMN()-1)/31.001)+$A$3,ROUNDUP(MOD(COLUMN()-1,31.001),0)),2),Auxiliar!$D$1:$E$7,2,0),'Feriados y días laborables'!$D$3:$E$9,2,0)="Si"))</f>
        <v>1</v>
      </c>
      <c r="KI6" s="7" t="b">
        <f>AND(NOT(ISNUMBER(MATCH(DATE($A$4,INT((COLUMN()-1)/31.001)+$A$3,ROUNDUP(MOD(COLUMN()-1,31.001),0)),Feriados,0))),(VLOOKUP(VLOOKUP(WEEKDAY(DATE($A$4,INT((COLUMN()-1)/31.001)+$A$3,ROUNDUP(MOD(COLUMN()-1,31.001),0)),2),Auxiliar!$D$1:$E$7,2,0),'Feriados y días laborables'!$D$3:$E$9,2,0)="Si"))</f>
        <v>1</v>
      </c>
      <c r="KJ6" s="7" t="b">
        <f>AND(NOT(ISNUMBER(MATCH(DATE($A$4,INT((COLUMN()-1)/31.001)+$A$3,ROUNDUP(MOD(COLUMN()-1,31.001),0)),Feriados,0))),(VLOOKUP(VLOOKUP(WEEKDAY(DATE($A$4,INT((COLUMN()-1)/31.001)+$A$3,ROUNDUP(MOD(COLUMN()-1,31.001),0)),2),Auxiliar!$D$1:$E$7,2,0),'Feriados y días laborables'!$D$3:$E$9,2,0)="Si"))</f>
        <v>1</v>
      </c>
      <c r="KK6" s="7" t="b">
        <f>AND(NOT(ISNUMBER(MATCH(DATE($A$4,INT((COLUMN()-1)/31.001)+$A$3,ROUNDUP(MOD(COLUMN()-1,31.001),0)),Feriados,0))),(VLOOKUP(VLOOKUP(WEEKDAY(DATE($A$4,INT((COLUMN()-1)/31.001)+$A$3,ROUNDUP(MOD(COLUMN()-1,31.001),0)),2),Auxiliar!$D$1:$E$7,2,0),'Feriados y días laborables'!$D$3:$E$9,2,0)="Si"))</f>
        <v>1</v>
      </c>
      <c r="KL6" s="7" t="b">
        <f>AND(NOT(ISNUMBER(MATCH(DATE($A$4,INT((COLUMN()-1)/31.001)+$A$3,ROUNDUP(MOD(COLUMN()-1,31.001),0)),Feriados,0))),(VLOOKUP(VLOOKUP(WEEKDAY(DATE($A$4,INT((COLUMN()-1)/31.001)+$A$3,ROUNDUP(MOD(COLUMN()-1,31.001),0)),2),Auxiliar!$D$1:$E$7,2,0),'Feriados y días laborables'!$D$3:$E$9,2,0)="Si"))</f>
        <v>1</v>
      </c>
      <c r="KM6" s="7" t="b">
        <f>AND(NOT(ISNUMBER(MATCH(DATE($A$4,INT((COLUMN()-1)/31.001)+$A$3,ROUNDUP(MOD(COLUMN()-1,31.001),0)),Feriados,0))),(VLOOKUP(VLOOKUP(WEEKDAY(DATE($A$4,INT((COLUMN()-1)/31.001)+$A$3,ROUNDUP(MOD(COLUMN()-1,31.001),0)),2),Auxiliar!$D$1:$E$7,2,0),'Feriados y días laborables'!$D$3:$E$9,2,0)="Si"))</f>
        <v>1</v>
      </c>
      <c r="KN6" s="7" t="b">
        <f>AND(NOT(ISNUMBER(MATCH(DATE($A$4,INT((COLUMN()-1)/31.001)+$A$3,ROUNDUP(MOD(COLUMN()-1,31.001),0)),Feriados,0))),(VLOOKUP(VLOOKUP(WEEKDAY(DATE($A$4,INT((COLUMN()-1)/31.001)+$A$3,ROUNDUP(MOD(COLUMN()-1,31.001),0)),2),Auxiliar!$D$1:$E$7,2,0),'Feriados y días laborables'!$D$3:$E$9,2,0)="Si"))</f>
        <v>1</v>
      </c>
      <c r="KO6" s="7" t="b">
        <f>AND(NOT(ISNUMBER(MATCH(DATE($A$4,INT((COLUMN()-1)/31.001)+$A$3,ROUNDUP(MOD(COLUMN()-1,31.001),0)),Feriados,0))),(VLOOKUP(VLOOKUP(WEEKDAY(DATE($A$4,INT((COLUMN()-1)/31.001)+$A$3,ROUNDUP(MOD(COLUMN()-1,31.001),0)),2),Auxiliar!$D$1:$E$7,2,0),'Feriados y días laborables'!$D$3:$E$9,2,0)="Si"))</f>
        <v>1</v>
      </c>
      <c r="KP6" s="7" t="b">
        <f>AND(NOT(ISNUMBER(MATCH(DATE($A$4,INT((COLUMN()-1)/31.001)+$A$3,ROUNDUP(MOD(COLUMN()-1,31.001),0)),Feriados,0))),(VLOOKUP(VLOOKUP(WEEKDAY(DATE($A$4,INT((COLUMN()-1)/31.001)+$A$3,ROUNDUP(MOD(COLUMN()-1,31.001),0)),2),Auxiliar!$D$1:$E$7,2,0),'Feriados y días laborables'!$D$3:$E$9,2,0)="Si"))</f>
        <v>1</v>
      </c>
      <c r="KQ6" s="7" t="b">
        <f>AND(NOT(ISNUMBER(MATCH(DATE($A$4,INT((COLUMN()-1)/31.001)+$A$3,ROUNDUP(MOD(COLUMN()-1,31.001),0)),Feriados,0))),(VLOOKUP(VLOOKUP(WEEKDAY(DATE($A$4,INT((COLUMN()-1)/31.001)+$A$3,ROUNDUP(MOD(COLUMN()-1,31.001),0)),2),Auxiliar!$D$1:$E$7,2,0),'Feriados y días laborables'!$D$3:$E$9,2,0)="Si"))</f>
        <v>1</v>
      </c>
      <c r="KR6" s="7" t="b">
        <f>AND(NOT(ISNUMBER(MATCH(DATE($A$4,INT((COLUMN()-1)/31.001)+$A$3,ROUNDUP(MOD(COLUMN()-1,31.001),0)),Feriados,0))),(VLOOKUP(VLOOKUP(WEEKDAY(DATE($A$4,INT((COLUMN()-1)/31.001)+$A$3,ROUNDUP(MOD(COLUMN()-1,31.001),0)),2),Auxiliar!$D$1:$E$7,2,0),'Feriados y días laborables'!$D$3:$E$9,2,0)="Si"))</f>
        <v>1</v>
      </c>
      <c r="KS6" s="7" t="b">
        <f>AND(NOT(ISNUMBER(MATCH(DATE($A$4,INT((COLUMN()-1)/31.001)+$A$3,ROUNDUP(MOD(COLUMN()-1,31.001),0)),Feriados,0))),(VLOOKUP(VLOOKUP(WEEKDAY(DATE($A$4,INT((COLUMN()-1)/31.001)+$A$3,ROUNDUP(MOD(COLUMN()-1,31.001),0)),2),Auxiliar!$D$1:$E$7,2,0),'Feriados y días laborables'!$D$3:$E$9,2,0)="Si"))</f>
        <v>1</v>
      </c>
      <c r="KT6" s="7" t="b">
        <f>AND(NOT(ISNUMBER(MATCH(DATE($A$4,INT((COLUMN()-1)/31.001)+$A$3,ROUNDUP(MOD(COLUMN()-1,31.001),0)),Feriados,0))),(VLOOKUP(VLOOKUP(WEEKDAY(DATE($A$4,INT((COLUMN()-1)/31.001)+$A$3,ROUNDUP(MOD(COLUMN()-1,31.001),0)),2),Auxiliar!$D$1:$E$7,2,0),'Feriados y días laborables'!$D$3:$E$9,2,0)="Si"))</f>
        <v>1</v>
      </c>
      <c r="KU6" s="7" t="b">
        <f>AND(NOT(ISNUMBER(MATCH(DATE($A$4,INT((COLUMN()-1)/31.001)+$A$3,ROUNDUP(MOD(COLUMN()-1,31.001),0)),Feriados,0))),(VLOOKUP(VLOOKUP(WEEKDAY(DATE($A$4,INT((COLUMN()-1)/31.001)+$A$3,ROUNDUP(MOD(COLUMN()-1,31.001),0)),2),Auxiliar!$D$1:$E$7,2,0),'Feriados y días laborables'!$D$3:$E$9,2,0)="Si"))</f>
        <v>1</v>
      </c>
      <c r="KV6" s="7" t="b">
        <f>AND(NOT(ISNUMBER(MATCH(DATE($A$4,INT((COLUMN()-1)/31.001)+$A$3,ROUNDUP(MOD(COLUMN()-1,31.001),0)),Feriados,0))),(VLOOKUP(VLOOKUP(WEEKDAY(DATE($A$4,INT((COLUMN()-1)/31.001)+$A$3,ROUNDUP(MOD(COLUMN()-1,31.001),0)),2),Auxiliar!$D$1:$E$7,2,0),'Feriados y días laborables'!$D$3:$E$9,2,0)="Si"))</f>
        <v>1</v>
      </c>
      <c r="KW6" s="7" t="b">
        <f>AND(NOT(ISNUMBER(MATCH(DATE($A$4,INT((COLUMN()-1)/31.001)+$A$3,ROUNDUP(MOD(COLUMN()-1,31.001),0)),Feriados,0))),(VLOOKUP(VLOOKUP(WEEKDAY(DATE($A$4,INT((COLUMN()-1)/31.001)+$A$3,ROUNDUP(MOD(COLUMN()-1,31.001),0)),2),Auxiliar!$D$1:$E$7,2,0),'Feriados y días laborables'!$D$3:$E$9,2,0)="Si"))</f>
        <v>1</v>
      </c>
      <c r="KX6" s="7" t="b">
        <f>AND(NOT(ISNUMBER(MATCH(DATE($A$4,INT((COLUMN()-1)/31.001)+$A$3,ROUNDUP(MOD(COLUMN()-1,31.001),0)),Feriados,0))),(VLOOKUP(VLOOKUP(WEEKDAY(DATE($A$4,INT((COLUMN()-1)/31.001)+$A$3,ROUNDUP(MOD(COLUMN()-1,31.001),0)),2),Auxiliar!$D$1:$E$7,2,0),'Feriados y días laborables'!$D$3:$E$9,2,0)="Si"))</f>
        <v>1</v>
      </c>
      <c r="KY6" s="7" t="b">
        <f>AND(NOT(ISNUMBER(MATCH(DATE($A$4,INT((COLUMN()-1)/31.001)+$A$3,ROUNDUP(MOD(COLUMN()-1,31.001),0)),Feriados,0))),(VLOOKUP(VLOOKUP(WEEKDAY(DATE($A$4,INT((COLUMN()-1)/31.001)+$A$3,ROUNDUP(MOD(COLUMN()-1,31.001),0)),2),Auxiliar!$D$1:$E$7,2,0),'Feriados y días laborables'!$D$3:$E$9,2,0)="Si"))</f>
        <v>1</v>
      </c>
      <c r="KZ6" s="7" t="b">
        <f>AND(NOT(ISNUMBER(MATCH(DATE($A$4,INT((COLUMN()-1)/31.001)+$A$3,ROUNDUP(MOD(COLUMN()-1,31.001),0)),Feriados,0))),(VLOOKUP(VLOOKUP(WEEKDAY(DATE($A$4,INT((COLUMN()-1)/31.001)+$A$3,ROUNDUP(MOD(COLUMN()-1,31.001),0)),2),Auxiliar!$D$1:$E$7,2,0),'Feriados y días laborables'!$D$3:$E$9,2,0)="Si"))</f>
        <v>1</v>
      </c>
      <c r="LA6" s="7" t="b">
        <f>AND(NOT(ISNUMBER(MATCH(DATE($A$4,INT((COLUMN()-1)/31.001)+$A$3,ROUNDUP(MOD(COLUMN()-1,31.001),0)),Feriados,0))),(VLOOKUP(VLOOKUP(WEEKDAY(DATE($A$4,INT((COLUMN()-1)/31.001)+$A$3,ROUNDUP(MOD(COLUMN()-1,31.001),0)),2),Auxiliar!$D$1:$E$7,2,0),'Feriados y días laborables'!$D$3:$E$9,2,0)="Si"))</f>
        <v>1</v>
      </c>
      <c r="LB6" s="7" t="b">
        <f>AND(NOT(ISNUMBER(MATCH(DATE($A$4,INT((COLUMN()-1)/31.001)+$A$3,ROUNDUP(MOD(COLUMN()-1,31.001),0)),Feriados,0))),(VLOOKUP(VLOOKUP(WEEKDAY(DATE($A$4,INT((COLUMN()-1)/31.001)+$A$3,ROUNDUP(MOD(COLUMN()-1,31.001),0)),2),Auxiliar!$D$1:$E$7,2,0),'Feriados y días laborables'!$D$3:$E$9,2,0)="Si"))</f>
        <v>1</v>
      </c>
      <c r="LC6" s="7" t="b">
        <f>AND(NOT(ISNUMBER(MATCH(DATE($A$4,INT((COLUMN()-1)/31.001)+$A$3,ROUNDUP(MOD(COLUMN()-1,31.001),0)),Feriados,0))),(VLOOKUP(VLOOKUP(WEEKDAY(DATE($A$4,INT((COLUMN()-1)/31.001)+$A$3,ROUNDUP(MOD(COLUMN()-1,31.001),0)),2),Auxiliar!$D$1:$E$7,2,0),'Feriados y días laborables'!$D$3:$E$9,2,0)="Si"))</f>
        <v>1</v>
      </c>
      <c r="LD6" s="7" t="b">
        <f>AND(NOT(ISNUMBER(MATCH(DATE($A$4,INT((COLUMN()-1)/31.001)+$A$3,ROUNDUP(MOD(COLUMN()-1,31.001),0)),Feriados,0))),(VLOOKUP(VLOOKUP(WEEKDAY(DATE($A$4,INT((COLUMN()-1)/31.001)+$A$3,ROUNDUP(MOD(COLUMN()-1,31.001),0)),2),Auxiliar!$D$1:$E$7,2,0),'Feriados y días laborables'!$D$3:$E$9,2,0)="Si"))</f>
        <v>1</v>
      </c>
      <c r="LE6" s="7" t="b">
        <f>AND(NOT(ISNUMBER(MATCH(DATE($A$4,INT((COLUMN()-1)/31.001)+$A$3,ROUNDUP(MOD(COLUMN()-1,31.001),0)),Feriados,0))),(VLOOKUP(VLOOKUP(WEEKDAY(DATE($A$4,INT((COLUMN()-1)/31.001)+$A$3,ROUNDUP(MOD(COLUMN()-1,31.001),0)),2),Auxiliar!$D$1:$E$7,2,0),'Feriados y días laborables'!$D$3:$E$9,2,0)="Si"))</f>
        <v>1</v>
      </c>
      <c r="LF6" s="7" t="b">
        <f>AND(NOT(ISNUMBER(MATCH(DATE($A$4,INT((COLUMN()-1)/31.001)+$A$3,ROUNDUP(MOD(COLUMN()-1,31.001),0)),Feriados,0))),(VLOOKUP(VLOOKUP(WEEKDAY(DATE($A$4,INT((COLUMN()-1)/31.001)+$A$3,ROUNDUP(MOD(COLUMN()-1,31.001),0)),2),Auxiliar!$D$1:$E$7,2,0),'Feriados y días laborables'!$D$3:$E$9,2,0)="Si"))</f>
        <v>1</v>
      </c>
      <c r="LG6" s="7" t="b">
        <f>AND(NOT(ISNUMBER(MATCH(DATE($A$4,INT((COLUMN()-1)/31.001)+$A$3,ROUNDUP(MOD(COLUMN()-1,31.001),0)),Feriados,0))),(VLOOKUP(VLOOKUP(WEEKDAY(DATE($A$4,INT((COLUMN()-1)/31.001)+$A$3,ROUNDUP(MOD(COLUMN()-1,31.001),0)),2),Auxiliar!$D$1:$E$7,2,0),'Feriados y días laborables'!$D$3:$E$9,2,0)="Si"))</f>
        <v>1</v>
      </c>
      <c r="LH6" s="7" t="b">
        <f>AND(NOT(ISNUMBER(MATCH(DATE($A$4,INT((COLUMN()-1)/31.001)+$A$3,ROUNDUP(MOD(COLUMN()-1,31.001),0)),Feriados,0))),(VLOOKUP(VLOOKUP(WEEKDAY(DATE($A$4,INT((COLUMN()-1)/31.001)+$A$3,ROUNDUP(MOD(COLUMN()-1,31.001),0)),2),Auxiliar!$D$1:$E$7,2,0),'Feriados y días laborables'!$D$3:$E$9,2,0)="Si"))</f>
        <v>1</v>
      </c>
      <c r="LI6" s="7" t="b">
        <f>AND(NOT(ISNUMBER(MATCH(DATE($A$4,INT((COLUMN()-1)/31.001)+$A$3,ROUNDUP(MOD(COLUMN()-1,31.001),0)),Feriados,0))),(VLOOKUP(VLOOKUP(WEEKDAY(DATE($A$4,INT((COLUMN()-1)/31.001)+$A$3,ROUNDUP(MOD(COLUMN()-1,31.001),0)),2),Auxiliar!$D$1:$E$7,2,0),'Feriados y días laborables'!$D$3:$E$9,2,0)="Si"))</f>
        <v>1</v>
      </c>
      <c r="LJ6" s="7" t="b">
        <f>AND(NOT(ISNUMBER(MATCH(DATE($A$4,INT((COLUMN()-1)/31.001)+$A$3,ROUNDUP(MOD(COLUMN()-1,31.001),0)),Feriados,0))),(VLOOKUP(VLOOKUP(WEEKDAY(DATE($A$4,INT((COLUMN()-1)/31.001)+$A$3,ROUNDUP(MOD(COLUMN()-1,31.001),0)),2),Auxiliar!$D$1:$E$7,2,0),'Feriados y días laborables'!$D$3:$E$9,2,0)="Si"))</f>
        <v>1</v>
      </c>
      <c r="LK6" s="7" t="b">
        <f>AND(NOT(ISNUMBER(MATCH(DATE($A$4,INT((COLUMN()-1)/31.001)+$A$3,ROUNDUP(MOD(COLUMN()-1,31.001),0)),Feriados,0))),(VLOOKUP(VLOOKUP(WEEKDAY(DATE($A$4,INT((COLUMN()-1)/31.001)+$A$3,ROUNDUP(MOD(COLUMN()-1,31.001),0)),2),Auxiliar!$D$1:$E$7,2,0),'Feriados y días laborables'!$D$3:$E$9,2,0)="Si"))</f>
        <v>1</v>
      </c>
      <c r="LL6" s="7" t="b">
        <f>AND(NOT(ISNUMBER(MATCH(DATE($A$4,INT((COLUMN()-1)/31.001)+$A$3,ROUNDUP(MOD(COLUMN()-1,31.001),0)),Feriados,0))),(VLOOKUP(VLOOKUP(WEEKDAY(DATE($A$4,INT((COLUMN()-1)/31.001)+$A$3,ROUNDUP(MOD(COLUMN()-1,31.001),0)),2),Auxiliar!$D$1:$E$7,2,0),'Feriados y días laborables'!$D$3:$E$9,2,0)="Si"))</f>
        <v>1</v>
      </c>
      <c r="LM6" s="7" t="b">
        <f>AND(NOT(ISNUMBER(MATCH(DATE($A$4,INT((COLUMN()-1)/31.001)+$A$3,ROUNDUP(MOD(COLUMN()-1,31.001),0)),Feriados,0))),(VLOOKUP(VLOOKUP(WEEKDAY(DATE($A$4,INT((COLUMN()-1)/31.001)+$A$3,ROUNDUP(MOD(COLUMN()-1,31.001),0)),2),Auxiliar!$D$1:$E$7,2,0),'Feriados y días laborables'!$D$3:$E$9,2,0)="Si"))</f>
        <v>1</v>
      </c>
      <c r="LN6" s="7" t="b">
        <f>AND(NOT(ISNUMBER(MATCH(DATE($A$4,INT((COLUMN()-1)/31.001)+$A$3,ROUNDUP(MOD(COLUMN()-1,31.001),0)),Feriados,0))),(VLOOKUP(VLOOKUP(WEEKDAY(DATE($A$4,INT((COLUMN()-1)/31.001)+$A$3,ROUNDUP(MOD(COLUMN()-1,31.001),0)),2),Auxiliar!$D$1:$E$7,2,0),'Feriados y días laborables'!$D$3:$E$9,2,0)="Si"))</f>
        <v>1</v>
      </c>
      <c r="LO6" s="7" t="b">
        <f>AND(NOT(ISNUMBER(MATCH(DATE($A$4,INT((COLUMN()-1)/31.001)+$A$3,ROUNDUP(MOD(COLUMN()-1,31.001),0)),Feriados,0))),(VLOOKUP(VLOOKUP(WEEKDAY(DATE($A$4,INT((COLUMN()-1)/31.001)+$A$3,ROUNDUP(MOD(COLUMN()-1,31.001),0)),2),Auxiliar!$D$1:$E$7,2,0),'Feriados y días laborables'!$D$3:$E$9,2,0)="Si"))</f>
        <v>1</v>
      </c>
      <c r="LP6" s="7" t="b">
        <f>AND(NOT(ISNUMBER(MATCH(DATE($A$4,INT((COLUMN()-1)/31.001)+$A$3,ROUNDUP(MOD(COLUMN()-1,31.001),0)),Feriados,0))),(VLOOKUP(VLOOKUP(WEEKDAY(DATE($A$4,INT((COLUMN()-1)/31.001)+$A$3,ROUNDUP(MOD(COLUMN()-1,31.001),0)),2),Auxiliar!$D$1:$E$7,2,0),'Feriados y días laborables'!$D$3:$E$9,2,0)="Si"))</f>
        <v>1</v>
      </c>
      <c r="LQ6" s="7" t="b">
        <f>AND(NOT(ISNUMBER(MATCH(DATE($A$4,INT((COLUMN()-1)/31.001)+$A$3,ROUNDUP(MOD(COLUMN()-1,31.001),0)),Feriados,0))),(VLOOKUP(VLOOKUP(WEEKDAY(DATE($A$4,INT((COLUMN()-1)/31.001)+$A$3,ROUNDUP(MOD(COLUMN()-1,31.001),0)),2),Auxiliar!$D$1:$E$7,2,0),'Feriados y días laborables'!$D$3:$E$9,2,0)="Si"))</f>
        <v>0</v>
      </c>
      <c r="LR6" s="7" t="b">
        <f>AND(NOT(ISNUMBER(MATCH(DATE($A$4,INT((COLUMN()-1)/31.001)+$A$3,ROUNDUP(MOD(COLUMN()-1,31.001),0)),Feriados,0))),(VLOOKUP(VLOOKUP(WEEKDAY(DATE($A$4,INT((COLUMN()-1)/31.001)+$A$3,ROUNDUP(MOD(COLUMN()-1,31.001),0)),2),Auxiliar!$D$1:$E$7,2,0),'Feriados y días laborables'!$D$3:$E$9,2,0)="Si"))</f>
        <v>1</v>
      </c>
      <c r="LS6" s="7" t="b">
        <f>AND(NOT(ISNUMBER(MATCH(DATE($A$4,INT((COLUMN()-1)/31.001)+$A$3,ROUNDUP(MOD(COLUMN()-1,31.001),0)),Feriados,0))),(VLOOKUP(VLOOKUP(WEEKDAY(DATE($A$4,INT((COLUMN()-1)/31.001)+$A$3,ROUNDUP(MOD(COLUMN()-1,31.001),0)),2),Auxiliar!$D$1:$E$7,2,0),'Feriados y días laborables'!$D$3:$E$9,2,0)="Si"))</f>
        <v>1</v>
      </c>
      <c r="LT6" s="7" t="b">
        <f>AND(NOT(ISNUMBER(MATCH(DATE($A$4,INT((COLUMN()-1)/31.001)+$A$3,ROUNDUP(MOD(COLUMN()-1,31.001),0)),Feriados,0))),(VLOOKUP(VLOOKUP(WEEKDAY(DATE($A$4,INT((COLUMN()-1)/31.001)+$A$3,ROUNDUP(MOD(COLUMN()-1,31.001),0)),2),Auxiliar!$D$1:$E$7,2,0),'Feriados y días laborables'!$D$3:$E$9,2,0)="Si"))</f>
        <v>1</v>
      </c>
      <c r="LU6" s="7" t="b">
        <f>AND(NOT(ISNUMBER(MATCH(DATE($A$4,INT((COLUMN()-1)/31.001)+$A$3,ROUNDUP(MOD(COLUMN()-1,31.001),0)),Feriados,0))),(VLOOKUP(VLOOKUP(WEEKDAY(DATE($A$4,INT((COLUMN()-1)/31.001)+$A$3,ROUNDUP(MOD(COLUMN()-1,31.001),0)),2),Auxiliar!$D$1:$E$7,2,0),'Feriados y días laborables'!$D$3:$E$9,2,0)="Si"))</f>
        <v>1</v>
      </c>
      <c r="LV6" s="7" t="b">
        <f>AND(NOT(ISNUMBER(MATCH(DATE($A$4,INT((COLUMN()-1)/31.001)+$A$3,ROUNDUP(MOD(COLUMN()-1,31.001),0)),Feriados,0))),(VLOOKUP(VLOOKUP(WEEKDAY(DATE($A$4,INT((COLUMN()-1)/31.001)+$A$3,ROUNDUP(MOD(COLUMN()-1,31.001),0)),2),Auxiliar!$D$1:$E$7,2,0),'Feriados y días laborables'!$D$3:$E$9,2,0)="Si"))</f>
        <v>1</v>
      </c>
      <c r="LW6" s="7" t="b">
        <f>AND(NOT(ISNUMBER(MATCH(DATE($A$4,INT((COLUMN()-1)/31.001)+$A$3,ROUNDUP(MOD(COLUMN()-1,31.001),0)),Feriados,0))),(VLOOKUP(VLOOKUP(WEEKDAY(DATE($A$4,INT((COLUMN()-1)/31.001)+$A$3,ROUNDUP(MOD(COLUMN()-1,31.001),0)),2),Auxiliar!$D$1:$E$7,2,0),'Feriados y días laborables'!$D$3:$E$9,2,0)="Si"))</f>
        <v>1</v>
      </c>
      <c r="LX6" s="7" t="b">
        <f>AND(NOT(ISNUMBER(MATCH(DATE($A$4,INT((COLUMN()-1)/31.001)+$A$3,ROUNDUP(MOD(COLUMN()-1,31.001),0)),Feriados,0))),(VLOOKUP(VLOOKUP(WEEKDAY(DATE($A$4,INT((COLUMN()-1)/31.001)+$A$3,ROUNDUP(MOD(COLUMN()-1,31.001),0)),2),Auxiliar!$D$1:$E$7,2,0),'Feriados y días laborables'!$D$3:$E$9,2,0)="Si"))</f>
        <v>1</v>
      </c>
      <c r="LY6" s="7" t="b">
        <f>AND(NOT(ISNUMBER(MATCH(DATE($A$4,INT((COLUMN()-1)/31.001)+$A$3,ROUNDUP(MOD(COLUMN()-1,31.001),0)),Feriados,0))),(VLOOKUP(VLOOKUP(WEEKDAY(DATE($A$4,INT((COLUMN()-1)/31.001)+$A$3,ROUNDUP(MOD(COLUMN()-1,31.001),0)),2),Auxiliar!$D$1:$E$7,2,0),'Feriados y días laborables'!$D$3:$E$9,2,0)="Si"))</f>
        <v>1</v>
      </c>
      <c r="LZ6" s="7" t="b">
        <f>AND(NOT(ISNUMBER(MATCH(DATE($A$4,INT((COLUMN()-1)/31.001)+$A$3,ROUNDUP(MOD(COLUMN()-1,31.001),0)),Feriados,0))),(VLOOKUP(VLOOKUP(WEEKDAY(DATE($A$4,INT((COLUMN()-1)/31.001)+$A$3,ROUNDUP(MOD(COLUMN()-1,31.001),0)),2),Auxiliar!$D$1:$E$7,2,0),'Feriados y días laborables'!$D$3:$E$9,2,0)="Si"))</f>
        <v>1</v>
      </c>
      <c r="MA6" s="7" t="b">
        <f>AND(NOT(ISNUMBER(MATCH(DATE($A$4,INT((COLUMN()-1)/31.001)+$A$3,ROUNDUP(MOD(COLUMN()-1,31.001),0)),Feriados,0))),(VLOOKUP(VLOOKUP(WEEKDAY(DATE($A$4,INT((COLUMN()-1)/31.001)+$A$3,ROUNDUP(MOD(COLUMN()-1,31.001),0)),2),Auxiliar!$D$1:$E$7,2,0),'Feriados y días laborables'!$D$3:$E$9,2,0)="Si"))</f>
        <v>1</v>
      </c>
      <c r="MB6" s="7" t="b">
        <f>AND(NOT(ISNUMBER(MATCH(DATE($A$4,INT((COLUMN()-1)/31.001)+$A$3,ROUNDUP(MOD(COLUMN()-1,31.001),0)),Feriados,0))),(VLOOKUP(VLOOKUP(WEEKDAY(DATE($A$4,INT((COLUMN()-1)/31.001)+$A$3,ROUNDUP(MOD(COLUMN()-1,31.001),0)),2),Auxiliar!$D$1:$E$7,2,0),'Feriados y días laborables'!$D$3:$E$9,2,0)="Si"))</f>
        <v>1</v>
      </c>
      <c r="MC6" s="7" t="b">
        <f>AND(NOT(ISNUMBER(MATCH(DATE($A$4,INT((COLUMN()-1)/31.001)+$A$3,ROUNDUP(MOD(COLUMN()-1,31.001),0)),Feriados,0))),(VLOOKUP(VLOOKUP(WEEKDAY(DATE($A$4,INT((COLUMN()-1)/31.001)+$A$3,ROUNDUP(MOD(COLUMN()-1,31.001),0)),2),Auxiliar!$D$1:$E$7,2,0),'Feriados y días laborables'!$D$3:$E$9,2,0)="Si"))</f>
        <v>1</v>
      </c>
      <c r="MD6" s="7" t="b">
        <f>AND(NOT(ISNUMBER(MATCH(DATE($A$4,INT((COLUMN()-1)/31.001)+$A$3,ROUNDUP(MOD(COLUMN()-1,31.001),0)),Feriados,0))),(VLOOKUP(VLOOKUP(WEEKDAY(DATE($A$4,INT((COLUMN()-1)/31.001)+$A$3,ROUNDUP(MOD(COLUMN()-1,31.001),0)),2),Auxiliar!$D$1:$E$7,2,0),'Feriados y días laborables'!$D$3:$E$9,2,0)="Si"))</f>
        <v>1</v>
      </c>
      <c r="ME6" s="7" t="b">
        <f>AND(NOT(ISNUMBER(MATCH(DATE($A$4,INT((COLUMN()-1)/31.001)+$A$3,ROUNDUP(MOD(COLUMN()-1,31.001),0)),Feriados,0))),(VLOOKUP(VLOOKUP(WEEKDAY(DATE($A$4,INT((COLUMN()-1)/31.001)+$A$3,ROUNDUP(MOD(COLUMN()-1,31.001),0)),2),Auxiliar!$D$1:$E$7,2,0),'Feriados y días laborables'!$D$3:$E$9,2,0)="Si"))</f>
        <v>1</v>
      </c>
      <c r="MF6" s="7" t="b">
        <f>AND(NOT(ISNUMBER(MATCH(DATE($A$4,INT((COLUMN()-1)/31.001)+$A$3,ROUNDUP(MOD(COLUMN()-1,31.001),0)),Feriados,0))),(VLOOKUP(VLOOKUP(WEEKDAY(DATE($A$4,INT((COLUMN()-1)/31.001)+$A$3,ROUNDUP(MOD(COLUMN()-1,31.001),0)),2),Auxiliar!$D$1:$E$7,2,0),'Feriados y días laborables'!$D$3:$E$9,2,0)="Si"))</f>
        <v>1</v>
      </c>
      <c r="MG6" s="7" t="b">
        <f>AND(NOT(ISNUMBER(MATCH(DATE($A$4,INT((COLUMN()-1)/31.001)+$A$3,ROUNDUP(MOD(COLUMN()-1,31.001),0)),Feriados,0))),(VLOOKUP(VLOOKUP(WEEKDAY(DATE($A$4,INT((COLUMN()-1)/31.001)+$A$3,ROUNDUP(MOD(COLUMN()-1,31.001),0)),2),Auxiliar!$D$1:$E$7,2,0),'Feriados y días laborables'!$D$3:$E$9,2,0)="Si"))</f>
        <v>1</v>
      </c>
      <c r="MH6" s="7" t="b">
        <f>AND(NOT(ISNUMBER(MATCH(DATE($A$4,INT((COLUMN()-1)/31.001)+$A$3,ROUNDUP(MOD(COLUMN()-1,31.001),0)),Feriados,0))),(VLOOKUP(VLOOKUP(WEEKDAY(DATE($A$4,INT((COLUMN()-1)/31.001)+$A$3,ROUNDUP(MOD(COLUMN()-1,31.001),0)),2),Auxiliar!$D$1:$E$7,2,0),'Feriados y días laborables'!$D$3:$E$9,2,0)="Si"))</f>
        <v>1</v>
      </c>
      <c r="MI6" s="7" t="b">
        <f>AND(NOT(ISNUMBER(MATCH(DATE($A$4,INT((COLUMN()-1)/31.001)+$A$3,ROUNDUP(MOD(COLUMN()-1,31.001),0)),Feriados,0))),(VLOOKUP(VLOOKUP(WEEKDAY(DATE($A$4,INT((COLUMN()-1)/31.001)+$A$3,ROUNDUP(MOD(COLUMN()-1,31.001),0)),2),Auxiliar!$D$1:$E$7,2,0),'Feriados y días laborables'!$D$3:$E$9,2,0)="Si"))</f>
        <v>1</v>
      </c>
      <c r="MJ6" s="7" t="b">
        <f>AND(NOT(ISNUMBER(MATCH(DATE($A$4,INT((COLUMN()-1)/31.001)+$A$3,ROUNDUP(MOD(COLUMN()-1,31.001),0)),Feriados,0))),(VLOOKUP(VLOOKUP(WEEKDAY(DATE($A$4,INT((COLUMN()-1)/31.001)+$A$3,ROUNDUP(MOD(COLUMN()-1,31.001),0)),2),Auxiliar!$D$1:$E$7,2,0),'Feriados y días laborables'!$D$3:$E$9,2,0)="Si"))</f>
        <v>1</v>
      </c>
      <c r="MK6" s="7" t="b">
        <f>AND(NOT(ISNUMBER(MATCH(DATE($A$4,INT((COLUMN()-1)/31.001)+$A$3,ROUNDUP(MOD(COLUMN()-1,31.001),0)),Feriados,0))),(VLOOKUP(VLOOKUP(WEEKDAY(DATE($A$4,INT((COLUMN()-1)/31.001)+$A$3,ROUNDUP(MOD(COLUMN()-1,31.001),0)),2),Auxiliar!$D$1:$E$7,2,0),'Feriados y días laborables'!$D$3:$E$9,2,0)="Si"))</f>
        <v>1</v>
      </c>
      <c r="ML6" s="7" t="b">
        <f>AND(NOT(ISNUMBER(MATCH(DATE($A$4,INT((COLUMN()-1)/31.001)+$A$3,ROUNDUP(MOD(COLUMN()-1,31.001),0)),Feriados,0))),(VLOOKUP(VLOOKUP(WEEKDAY(DATE($A$4,INT((COLUMN()-1)/31.001)+$A$3,ROUNDUP(MOD(COLUMN()-1,31.001),0)),2),Auxiliar!$D$1:$E$7,2,0),'Feriados y días laborables'!$D$3:$E$9,2,0)="Si"))</f>
        <v>1</v>
      </c>
      <c r="MM6" s="7" t="b">
        <f>AND(NOT(ISNUMBER(MATCH(DATE($A$4,INT((COLUMN()-1)/31.001)+$A$3,ROUNDUP(MOD(COLUMN()-1,31.001),0)),Feriados,0))),(VLOOKUP(VLOOKUP(WEEKDAY(DATE($A$4,INT((COLUMN()-1)/31.001)+$A$3,ROUNDUP(MOD(COLUMN()-1,31.001),0)),2),Auxiliar!$D$1:$E$7,2,0),'Feriados y días laborables'!$D$3:$E$9,2,0)="Si"))</f>
        <v>1</v>
      </c>
      <c r="MN6" s="7" t="b">
        <f>AND(NOT(ISNUMBER(MATCH(DATE($A$4,INT((COLUMN()-1)/31.001)+$A$3,ROUNDUP(MOD(COLUMN()-1,31.001),0)),Feriados,0))),(VLOOKUP(VLOOKUP(WEEKDAY(DATE($A$4,INT((COLUMN()-1)/31.001)+$A$3,ROUNDUP(MOD(COLUMN()-1,31.001),0)),2),Auxiliar!$D$1:$E$7,2,0),'Feriados y días laborables'!$D$3:$E$9,2,0)="Si"))</f>
        <v>1</v>
      </c>
      <c r="MO6" s="7" t="b">
        <f>AND(NOT(ISNUMBER(MATCH(DATE($A$4,INT((COLUMN()-1)/31.001)+$A$3,ROUNDUP(MOD(COLUMN()-1,31.001),0)),Feriados,0))),(VLOOKUP(VLOOKUP(WEEKDAY(DATE($A$4,INT((COLUMN()-1)/31.001)+$A$3,ROUNDUP(MOD(COLUMN()-1,31.001),0)),2),Auxiliar!$D$1:$E$7,2,0),'Feriados y días laborables'!$D$3:$E$9,2,0)="Si"))</f>
        <v>1</v>
      </c>
      <c r="MP6" s="7" t="b">
        <f>AND(NOT(ISNUMBER(MATCH(DATE($A$4,INT((COLUMN()-1)/31.001)+$A$3,ROUNDUP(MOD(COLUMN()-1,31.001),0)),Feriados,0))),(VLOOKUP(VLOOKUP(WEEKDAY(DATE($A$4,INT((COLUMN()-1)/31.001)+$A$3,ROUNDUP(MOD(COLUMN()-1,31.001),0)),2),Auxiliar!$D$1:$E$7,2,0),'Feriados y días laborables'!$D$3:$E$9,2,0)="Si"))</f>
        <v>1</v>
      </c>
      <c r="MQ6" s="7" t="b">
        <f>AND(NOT(ISNUMBER(MATCH(DATE($A$4,INT((COLUMN()-1)/31.001)+$A$3,ROUNDUP(MOD(COLUMN()-1,31.001),0)),Feriados,0))),(VLOOKUP(VLOOKUP(WEEKDAY(DATE($A$4,INT((COLUMN()-1)/31.001)+$A$3,ROUNDUP(MOD(COLUMN()-1,31.001),0)),2),Auxiliar!$D$1:$E$7,2,0),'Feriados y días laborables'!$D$3:$E$9,2,0)="Si"))</f>
        <v>1</v>
      </c>
      <c r="MR6" s="7" t="b">
        <f>AND(NOT(ISNUMBER(MATCH(DATE($A$4,INT((COLUMN()-1)/31.001)+$A$3,ROUNDUP(MOD(COLUMN()-1,31.001),0)),Feriados,0))),(VLOOKUP(VLOOKUP(WEEKDAY(DATE($A$4,INT((COLUMN()-1)/31.001)+$A$3,ROUNDUP(MOD(COLUMN()-1,31.001),0)),2),Auxiliar!$D$1:$E$7,2,0),'Feriados y días laborables'!$D$3:$E$9,2,0)="Si"))</f>
        <v>1</v>
      </c>
      <c r="MS6" s="7" t="b">
        <f>AND(NOT(ISNUMBER(MATCH(DATE($A$4,INT((COLUMN()-1)/31.001)+$A$3,ROUNDUP(MOD(COLUMN()-1,31.001),0)),Feriados,0))),(VLOOKUP(VLOOKUP(WEEKDAY(DATE($A$4,INT((COLUMN()-1)/31.001)+$A$3,ROUNDUP(MOD(COLUMN()-1,31.001),0)),2),Auxiliar!$D$1:$E$7,2,0),'Feriados y días laborables'!$D$3:$E$9,2,0)="Si"))</f>
        <v>1</v>
      </c>
      <c r="MT6" s="7" t="b">
        <f>AND(NOT(ISNUMBER(MATCH(DATE($A$4,INT((COLUMN()-1)/31.001)+$A$3,ROUNDUP(MOD(COLUMN()-1,31.001),0)),Feriados,0))),(VLOOKUP(VLOOKUP(WEEKDAY(DATE($A$4,INT((COLUMN()-1)/31.001)+$A$3,ROUNDUP(MOD(COLUMN()-1,31.001),0)),2),Auxiliar!$D$1:$E$7,2,0),'Feriados y días laborables'!$D$3:$E$9,2,0)="Si"))</f>
        <v>1</v>
      </c>
      <c r="MU6" s="7" t="b">
        <f>AND(NOT(ISNUMBER(MATCH(DATE($A$4,INT((COLUMN()-1)/31.001)+$A$3,ROUNDUP(MOD(COLUMN()-1,31.001),0)),Feriados,0))),(VLOOKUP(VLOOKUP(WEEKDAY(DATE($A$4,INT((COLUMN()-1)/31.001)+$A$3,ROUNDUP(MOD(COLUMN()-1,31.001),0)),2),Auxiliar!$D$1:$E$7,2,0),'Feriados y días laborables'!$D$3:$E$9,2,0)="Si"))</f>
        <v>1</v>
      </c>
      <c r="MV6" s="7" t="b">
        <f>AND(NOT(ISNUMBER(MATCH(DATE($A$4,INT((COLUMN()-1)/31.001)+$A$3,ROUNDUP(MOD(COLUMN()-1,31.001),0)),Feriados,0))),(VLOOKUP(VLOOKUP(WEEKDAY(DATE($A$4,INT((COLUMN()-1)/31.001)+$A$3,ROUNDUP(MOD(COLUMN()-1,31.001),0)),2),Auxiliar!$D$1:$E$7,2,0),'Feriados y días laborables'!$D$3:$E$9,2,0)="Si"))</f>
        <v>1</v>
      </c>
      <c r="MW6" s="7" t="b">
        <f>AND(NOT(ISNUMBER(MATCH(DATE($A$4,INT((COLUMN()-1)/31.001)+$A$3,ROUNDUP(MOD(COLUMN()-1,31.001),0)),Feriados,0))),(VLOOKUP(VLOOKUP(WEEKDAY(DATE($A$4,INT((COLUMN()-1)/31.001)+$A$3,ROUNDUP(MOD(COLUMN()-1,31.001),0)),2),Auxiliar!$D$1:$E$7,2,0),'Feriados y días laborables'!$D$3:$E$9,2,0)="Si"))</f>
        <v>1</v>
      </c>
      <c r="MX6" s="7" t="b">
        <f>AND(NOT(ISNUMBER(MATCH(DATE($A$4,INT((COLUMN()-1)/31.001)+$A$3,ROUNDUP(MOD(COLUMN()-1,31.001),0)),Feriados,0))),(VLOOKUP(VLOOKUP(WEEKDAY(DATE($A$4,INT((COLUMN()-1)/31.001)+$A$3,ROUNDUP(MOD(COLUMN()-1,31.001),0)),2),Auxiliar!$D$1:$E$7,2,0),'Feriados y días laborables'!$D$3:$E$9,2,0)="Si"))</f>
        <v>1</v>
      </c>
      <c r="MY6" s="7" t="b">
        <f>AND(NOT(ISNUMBER(MATCH(DATE($A$4,INT((COLUMN()-1)/31.001)+$A$3,ROUNDUP(MOD(COLUMN()-1,31.001),0)),Feriados,0))),(VLOOKUP(VLOOKUP(WEEKDAY(DATE($A$4,INT((COLUMN()-1)/31.001)+$A$3,ROUNDUP(MOD(COLUMN()-1,31.001),0)),2),Auxiliar!$D$1:$E$7,2,0),'Feriados y días laborables'!$D$3:$E$9,2,0)="Si"))</f>
        <v>1</v>
      </c>
      <c r="MZ6" s="7" t="b">
        <f>AND(NOT(ISNUMBER(MATCH(DATE($A$4,INT((COLUMN()-1)/31.001)+$A$3,ROUNDUP(MOD(COLUMN()-1,31.001),0)),Feriados,0))),(VLOOKUP(VLOOKUP(WEEKDAY(DATE($A$4,INT((COLUMN()-1)/31.001)+$A$3,ROUNDUP(MOD(COLUMN()-1,31.001),0)),2),Auxiliar!$D$1:$E$7,2,0),'Feriados y días laborables'!$D$3:$E$9,2,0)="Si"))</f>
        <v>1</v>
      </c>
      <c r="NA6" s="7" t="b">
        <f>AND(NOT(ISNUMBER(MATCH(DATE($A$4,INT((COLUMN()-1)/31.001)+$A$3,ROUNDUP(MOD(COLUMN()-1,31.001),0)),Feriados,0))),(VLOOKUP(VLOOKUP(WEEKDAY(DATE($A$4,INT((COLUMN()-1)/31.001)+$A$3,ROUNDUP(MOD(COLUMN()-1,31.001),0)),2),Auxiliar!$D$1:$E$7,2,0),'Feriados y días laborables'!$D$3:$E$9,2,0)="Si"))</f>
        <v>1</v>
      </c>
      <c r="NB6" s="7" t="b">
        <f>AND(NOT(ISNUMBER(MATCH(DATE($A$4,INT((COLUMN()-1)/31.001)+$A$3,ROUNDUP(MOD(COLUMN()-1,31.001),0)),Feriados,0))),(VLOOKUP(VLOOKUP(WEEKDAY(DATE($A$4,INT((COLUMN()-1)/31.001)+$A$3,ROUNDUP(MOD(COLUMN()-1,31.001),0)),2),Auxiliar!$D$1:$E$7,2,0),'Feriados y días laborables'!$D$3:$E$9,2,0)="Si"))</f>
        <v>1</v>
      </c>
      <c r="NC6" s="7" t="b">
        <f>AND(NOT(ISNUMBER(MATCH(DATE($A$4,INT((COLUMN()-1)/31.001)+$A$3,ROUNDUP(MOD(COLUMN()-1,31.001),0)),Feriados,0))),(VLOOKUP(VLOOKUP(WEEKDAY(DATE($A$4,INT((COLUMN()-1)/31.001)+$A$3,ROUNDUP(MOD(COLUMN()-1,31.001),0)),2),Auxiliar!$D$1:$E$7,2,0),'Feriados y días laborables'!$D$3:$E$9,2,0)="Si"))</f>
        <v>0</v>
      </c>
      <c r="ND6" s="7" t="b">
        <f>AND(NOT(ISNUMBER(MATCH(DATE($A$4,INT((COLUMN()-1)/31.001)+$A$3,ROUNDUP(MOD(COLUMN()-1,31.001),0)),Feriados,0))),(VLOOKUP(VLOOKUP(WEEKDAY(DATE($A$4,INT((COLUMN()-1)/31.001)+$A$3,ROUNDUP(MOD(COLUMN()-1,31.001),0)),2),Auxiliar!$D$1:$E$7,2,0),'Feriados y días laborables'!$D$3:$E$9,2,0)="Si"))</f>
        <v>1</v>
      </c>
      <c r="NE6" s="7" t="b">
        <f>AND(NOT(ISNUMBER(MATCH(DATE($A$4,INT((COLUMN()-1)/31.001)+$A$3,ROUNDUP(MOD(COLUMN()-1,31.001),0)),Feriados,0))),(VLOOKUP(VLOOKUP(WEEKDAY(DATE($A$4,INT((COLUMN()-1)/31.001)+$A$3,ROUNDUP(MOD(COLUMN()-1,31.001),0)),2),Auxiliar!$D$1:$E$7,2,0),'Feriados y días laborables'!$D$3:$E$9,2,0)="Si"))</f>
        <v>1</v>
      </c>
      <c r="NF6" s="7" t="b">
        <f>AND(NOT(ISNUMBER(MATCH(DATE($A$4,INT((COLUMN()-1)/31.001)+$A$3,ROUNDUP(MOD(COLUMN()-1,31.001),0)),Feriados,0))),(VLOOKUP(VLOOKUP(WEEKDAY(DATE($A$4,INT((COLUMN()-1)/31.001)+$A$3,ROUNDUP(MOD(COLUMN()-1,31.001),0)),2),Auxiliar!$D$1:$E$7,2,0),'Feriados y días laborables'!$D$3:$E$9,2,0)="Si"))</f>
        <v>1</v>
      </c>
      <c r="NG6" s="7" t="b">
        <f>AND(NOT(ISNUMBER(MATCH(DATE($A$4,INT((COLUMN()-1)/31.001)+$A$3,ROUNDUP(MOD(COLUMN()-1,31.001),0)),Feriados,0))),(VLOOKUP(VLOOKUP(WEEKDAY(DATE($A$4,INT((COLUMN()-1)/31.001)+$A$3,ROUNDUP(MOD(COLUMN()-1,31.001),0)),2),Auxiliar!$D$1:$E$7,2,0),'Feriados y días laborables'!$D$3:$E$9,2,0)="Si"))</f>
        <v>1</v>
      </c>
      <c r="NH6" s="7" t="b">
        <f>AND(NOT(ISNUMBER(MATCH(DATE($A$4,INT((COLUMN()-1)/31.001)+$A$3,ROUNDUP(MOD(COLUMN()-1,31.001),0)),Feriados,0))),(VLOOKUP(VLOOKUP(WEEKDAY(DATE($A$4,INT((COLUMN()-1)/31.001)+$A$3,ROUNDUP(MOD(COLUMN()-1,31.001),0)),2),Auxiliar!$D$1:$E$7,2,0),'Feriados y días laborables'!$D$3:$E$9,2,0)="Si"))</f>
        <v>1</v>
      </c>
      <c r="NI6" s="7" t="b">
        <f>AND(NOT(ISNUMBER(MATCH(DATE($A$4,INT((COLUMN()-1)/31.001)+$A$3,ROUNDUP(MOD(COLUMN()-1,31.001),0)),Feriados,0))),(VLOOKUP(VLOOKUP(WEEKDAY(DATE($A$4,INT((COLUMN()-1)/31.001)+$A$3,ROUNDUP(MOD(COLUMN()-1,31.001),0)),2),Auxiliar!$D$1:$E$7,2,0),'Feriados y días laborables'!$D$3:$E$9,2,0)="Si"))</f>
        <v>1</v>
      </c>
      <c r="NJ6" s="37" t="s">
        <v>34</v>
      </c>
      <c r="NK6" s="38" t="s">
        <v>36</v>
      </c>
      <c r="NL6" s="2"/>
      <c r="NM6" s="2"/>
      <c r="NN6" s="2"/>
      <c r="NO6" s="2"/>
      <c r="NP6" s="2"/>
      <c r="NQ6" s="2"/>
      <c r="NR6" s="2"/>
      <c r="NS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row>
    <row r="7" spans="1:759" ht="12.75" customHeight="1" x14ac:dyDescent="0.25">
      <c r="A7" s="3"/>
      <c r="B7" s="17" t="b">
        <f>IFERROR(IF(AND(VLOOKUP(B9,'Feriados y días laborables'!$D$3:$E$9,2,0)="Si",NOT(ISNUMBER(VLOOKUP(DATE($A$4,$A$5+$A$3-1,B8),Feriados,1,0)))),TRUE,FALSE),FALSE)</f>
        <v>0</v>
      </c>
      <c r="C7" s="17" t="b">
        <f>IFERROR(IF(AND(VLOOKUP(C9,'Feriados y días laborables'!$D$3:$E$9,2,0)="Si",NOT(ISNUMBER(VLOOKUP(DATE($A$4,$A$5+$A$3-1,C8),Feriados,1,0)))),TRUE,FALSE),FALSE)</f>
        <v>0</v>
      </c>
      <c r="D7" s="17" t="b">
        <f>IFERROR(IF(AND(VLOOKUP(D9,'Feriados y días laborables'!$D$3:$E$9,2,0)="Si",NOT(ISNUMBER(VLOOKUP(DATE($A$4,$A$5+$A$3-1,D8),Feriados,1,0)))),TRUE,FALSE),FALSE)</f>
        <v>0</v>
      </c>
      <c r="E7" s="17" t="b">
        <f>IFERROR(IF(AND(VLOOKUP(E9,'Feriados y días laborables'!$D$3:$E$9,2,0)="Si",NOT(ISNUMBER(VLOOKUP(DATE($A$4,$A$5+$A$3-1,E8),Feriados,1,0)))),TRUE,FALSE),FALSE)</f>
        <v>0</v>
      </c>
      <c r="F7" s="17" t="b">
        <f>IFERROR(IF(AND(VLOOKUP(F9,'Feriados y días laborables'!$D$3:$E$9,2,0)="Si",NOT(ISNUMBER(VLOOKUP(DATE($A$4,$A$5+$A$3-1,F8),Feriados,1,0)))),TRUE,FALSE),FALSE)</f>
        <v>0</v>
      </c>
      <c r="G7" s="17" t="b">
        <f>IFERROR(IF(AND(VLOOKUP(G9,'Feriados y días laborables'!$D$3:$E$9,2,0)="Si",NOT(ISNUMBER(VLOOKUP(DATE($A$4,$A$5+$A$3-1,G8),Feriados,1,0)))),TRUE,FALSE),FALSE)</f>
        <v>0</v>
      </c>
      <c r="H7" s="17" t="b">
        <f>IFERROR(IF(AND(VLOOKUP(H9,'Feriados y días laborables'!$D$3:$E$9,2,0)="Si",NOT(ISNUMBER(VLOOKUP(DATE($A$4,$A$5+$A$3-1,H8),Feriados,1,0)))),TRUE,FALSE),FALSE)</f>
        <v>0</v>
      </c>
      <c r="I7" s="17" t="b">
        <f>IFERROR(IF(AND(VLOOKUP(I9,'Feriados y días laborables'!$D$3:$E$9,2,0)="Si",NOT(ISNUMBER(VLOOKUP(DATE($A$4,$A$5+$A$3-1,I8),Feriados,1,0)))),TRUE,FALSE),FALSE)</f>
        <v>0</v>
      </c>
      <c r="J7" s="17" t="b">
        <f>IFERROR(IF(AND(VLOOKUP(J9,'Feriados y días laborables'!$D$3:$E$9,2,0)="Si",NOT(ISNUMBER(VLOOKUP(DATE($A$4,$A$5+$A$3-1,J8),Feriados,1,0)))),TRUE,FALSE),FALSE)</f>
        <v>0</v>
      </c>
      <c r="K7" s="17" t="b">
        <f>IFERROR(IF(AND(VLOOKUP(K9,'Feriados y días laborables'!$D$3:$E$9,2,0)="Si",NOT(ISNUMBER(VLOOKUP(DATE($A$4,$A$5+$A$3-1,K8),Feriados,1,0)))),TRUE,FALSE),FALSE)</f>
        <v>0</v>
      </c>
      <c r="L7" s="17" t="b">
        <f>IFERROR(IF(AND(VLOOKUP(L9,'Feriados y días laborables'!$D$3:$E$9,2,0)="Si",NOT(ISNUMBER(VLOOKUP(DATE($A$4,$A$5+$A$3-1,L8),Feriados,1,0)))),TRUE,FALSE),FALSE)</f>
        <v>0</v>
      </c>
      <c r="M7" s="17" t="b">
        <f>IFERROR(IF(AND(VLOOKUP(M9,'Feriados y días laborables'!$D$3:$E$9,2,0)="Si",NOT(ISNUMBER(VLOOKUP(DATE($A$4,$A$5+$A$3-1,M8),Feriados,1,0)))),TRUE,FALSE),FALSE)</f>
        <v>0</v>
      </c>
      <c r="N7" s="17" t="b">
        <f>IFERROR(IF(AND(VLOOKUP(N9,'Feriados y días laborables'!$D$3:$E$9,2,0)="Si",NOT(ISNUMBER(VLOOKUP(DATE($A$4,$A$5+$A$3-1,N8),Feriados,1,0)))),TRUE,FALSE),FALSE)</f>
        <v>0</v>
      </c>
      <c r="O7" s="17" t="b">
        <f>IFERROR(IF(AND(VLOOKUP(O9,'Feriados y días laborables'!$D$3:$E$9,2,0)="Si",NOT(ISNUMBER(VLOOKUP(DATE($A$4,$A$5+$A$3-1,O8),Feriados,1,0)))),TRUE,FALSE),FALSE)</f>
        <v>0</v>
      </c>
      <c r="P7" s="17" t="b">
        <f>IFERROR(IF(AND(VLOOKUP(P9,'Feriados y días laborables'!$D$3:$E$9,2,0)="Si",NOT(ISNUMBER(VLOOKUP(DATE($A$4,$A$5+$A$3-1,P8),Feriados,1,0)))),TRUE,FALSE),FALSE)</f>
        <v>0</v>
      </c>
      <c r="Q7" s="17" t="b">
        <f>IFERROR(IF(AND(VLOOKUP(Q9,'Feriados y días laborables'!$D$3:$E$9,2,0)="Si",NOT(ISNUMBER(VLOOKUP(DATE($A$4,$A$5+$A$3-1,Q8),Feriados,1,0)))),TRUE,FALSE),FALSE)</f>
        <v>0</v>
      </c>
      <c r="R7" s="17" t="b">
        <f>IFERROR(IF(AND(VLOOKUP(R9,'Feriados y días laborables'!$D$3:$E$9,2,0)="Si",NOT(ISNUMBER(VLOOKUP(DATE($A$4,$A$5+$A$3-1,R8),Feriados,1,0)))),TRUE,FALSE),FALSE)</f>
        <v>0</v>
      </c>
      <c r="S7" s="17" t="b">
        <f>IFERROR(IF(AND(VLOOKUP(S9,'Feriados y días laborables'!$D$3:$E$9,2,0)="Si",NOT(ISNUMBER(VLOOKUP(DATE($A$4,$A$5+$A$3-1,S8),Feriados,1,0)))),TRUE,FALSE),FALSE)</f>
        <v>0</v>
      </c>
      <c r="T7" s="17" t="b">
        <f>IFERROR(IF(AND(VLOOKUP(T9,'Feriados y días laborables'!$D$3:$E$9,2,0)="Si",NOT(ISNUMBER(VLOOKUP(DATE($A$4,$A$5+$A$3-1,T8),Feriados,1,0)))),TRUE,FALSE),FALSE)</f>
        <v>0</v>
      </c>
      <c r="U7" s="17" t="b">
        <f>IFERROR(IF(AND(VLOOKUP(U9,'Feriados y días laborables'!$D$3:$E$9,2,0)="Si",NOT(ISNUMBER(VLOOKUP(DATE($A$4,$A$5+$A$3-1,U8),Feriados,1,0)))),TRUE,FALSE),FALSE)</f>
        <v>0</v>
      </c>
      <c r="V7" s="17" t="b">
        <f>IFERROR(IF(AND(VLOOKUP(V9,'Feriados y días laborables'!$D$3:$E$9,2,0)="Si",NOT(ISNUMBER(VLOOKUP(DATE($A$4,$A$5+$A$3-1,V8),Feriados,1,0)))),TRUE,FALSE),FALSE)</f>
        <v>0</v>
      </c>
      <c r="W7" s="17" t="b">
        <f>IFERROR(IF(AND(VLOOKUP(W9,'Feriados y días laborables'!$D$3:$E$9,2,0)="Si",NOT(ISNUMBER(VLOOKUP(DATE($A$4,$A$5+$A$3-1,W8),Feriados,1,0)))),TRUE,FALSE),FALSE)</f>
        <v>0</v>
      </c>
      <c r="X7" s="17" t="b">
        <f>IFERROR(IF(AND(VLOOKUP(X9,'Feriados y días laborables'!$D$3:$E$9,2,0)="Si",NOT(ISNUMBER(VLOOKUP(DATE($A$4,$A$5+$A$3-1,X8),Feriados,1,0)))),TRUE,FALSE),FALSE)</f>
        <v>0</v>
      </c>
      <c r="Y7" s="17" t="b">
        <f>IFERROR(IF(AND(VLOOKUP(Y9,'Feriados y días laborables'!$D$3:$E$9,2,0)="Si",NOT(ISNUMBER(VLOOKUP(DATE($A$4,$A$5+$A$3-1,Y8),Feriados,1,0)))),TRUE,FALSE),FALSE)</f>
        <v>0</v>
      </c>
      <c r="Z7" s="17" t="b">
        <f>IFERROR(IF(AND(VLOOKUP(Z9,'Feriados y días laborables'!$D$3:$E$9,2,0)="Si",NOT(ISNUMBER(VLOOKUP(DATE($A$4,$A$5+$A$3-1,Z8),Feriados,1,0)))),TRUE,FALSE),FALSE)</f>
        <v>0</v>
      </c>
      <c r="AA7" s="17" t="b">
        <f>IFERROR(IF(AND(VLOOKUP(AA9,'Feriados y días laborables'!$D$3:$E$9,2,0)="Si",NOT(ISNUMBER(VLOOKUP(DATE($A$4,$A$5+$A$3-1,AA8),Feriados,1,0)))),TRUE,FALSE),FALSE)</f>
        <v>0</v>
      </c>
      <c r="AB7" s="17" t="b">
        <f>IFERROR(IF(AND(VLOOKUP(AB9,'Feriados y días laborables'!$D$3:$E$9,2,0)="Si",NOT(ISNUMBER(VLOOKUP(DATE($A$4,$A$5+$A$3-1,AB8),Feriados,1,0)))),TRUE,FALSE),FALSE)</f>
        <v>0</v>
      </c>
      <c r="AC7" s="17" t="b">
        <f>IFERROR(IF(AND(VLOOKUP(AC9,'Feriados y días laborables'!$D$3:$E$9,2,0)="Si",NOT(ISNUMBER(VLOOKUP(DATE($A$4,$A$5+$A$3-1,AC8),Feriados,1,0)))),TRUE,FALSE),FALSE)</f>
        <v>0</v>
      </c>
      <c r="AD7" s="17" t="b">
        <f>IFERROR(IF(AND(VLOOKUP(AD9,'Feriados y días laborables'!$D$3:$E$9,2,0)="Si",NOT(ISNUMBER(VLOOKUP(DATE($A$4,$A$5+$A$3-1,AD8),Feriados,1,0)))),TRUE,FALSE),FALSE)</f>
        <v>0</v>
      </c>
      <c r="AE7" s="17" t="b">
        <f>IFERROR(IF(AND(VLOOKUP(AE9,'Feriados y días laborables'!$D$3:$E$9,2,0)="Si",NOT(ISNUMBER(VLOOKUP(DATE($A$4,$A$5+$A$3-1,AE8),Feriados,1,0)))),TRUE,FALSE),FALSE)</f>
        <v>0</v>
      </c>
      <c r="AF7" s="17" t="b">
        <f>IFERROR(IF(AND(VLOOKUP(AF9,'Feriados y días laborables'!$D$3:$E$9,2,0)="Si",NOT(ISNUMBER(VLOOKUP(DATE($A$4,$A$5+$A$3-1,AF8),Feriados,1,0)))),TRUE,FALSE),FALSE)</f>
        <v>0</v>
      </c>
      <c r="AG7" s="17" t="b">
        <f>IFERROR(IF(AND(VLOOKUP(AG9,'Feriados y días laborables'!$D$3:$E$9,2,0)="Si",NOT(ISNUMBER(VLOOKUP(DATE($A$4,$A$5+$A$3-1,AG8),Feriados,1,0)))),TRUE,FALSE),FALSE)</f>
        <v>0</v>
      </c>
      <c r="AH7" s="17" t="b">
        <f>IFERROR(IF(AND(VLOOKUP(AH9,'Feriados y días laborables'!$D$3:$E$9,2,0)="Si",NOT(ISNUMBER(VLOOKUP(DATE($A$4,$A$5+$A$3-1,AH8),Feriados,1,0)))),TRUE,FALSE),FALSE)</f>
        <v>0</v>
      </c>
      <c r="AI7" s="17" t="b">
        <f>IFERROR(IF(AND(VLOOKUP(AI9,'Feriados y días laborables'!$D$3:$E$9,2,0)="Si",NOT(ISNUMBER(VLOOKUP(DATE($A$4,$A$5+$A$3-1,AI8),Feriados,1,0)))),TRUE,FALSE),FALSE)</f>
        <v>0</v>
      </c>
      <c r="AJ7" s="17" t="b">
        <f>IFERROR(IF(AND(VLOOKUP(AJ9,'Feriados y días laborables'!$D$3:$E$9,2,0)="Si",NOT(ISNUMBER(VLOOKUP(DATE($A$4,$A$5+$A$3-1,AJ8),Feriados,1,0)))),TRUE,FALSE),FALSE)</f>
        <v>0</v>
      </c>
      <c r="AK7" s="17" t="b">
        <f>IFERROR(IF(AND(VLOOKUP(AK9,'Feriados y días laborables'!$D$3:$E$9,2,0)="Si",NOT(ISNUMBER(VLOOKUP(DATE($A$4,$A$5+$A$3-1,AK8),Feriados,1,0)))),TRUE,FALSE),FALSE)</f>
        <v>0</v>
      </c>
      <c r="AL7" s="17" t="b">
        <f>IFERROR(IF(AND(VLOOKUP(AL9,'Feriados y días laborables'!$D$3:$E$9,2,0)="Si",NOT(ISNUMBER(VLOOKUP(DATE($A$4,$A$5+$A$3-1,AL8),Feriados,1,0)))),TRUE,FALSE),FALSE)</f>
        <v>0</v>
      </c>
      <c r="AM7" s="17" t="b">
        <f>IFERROR(IF(AND(VLOOKUP(AM9,'Feriados y días laborables'!$D$3:$E$9,2,0)="Si",NOT(ISNUMBER(VLOOKUP(DATE($A$4,$A$5+$A$3-1,AM8),Feriados,1,0)))),TRUE,FALSE),FALSE)</f>
        <v>0</v>
      </c>
      <c r="AN7" s="17" t="b">
        <f>IFERROR(IF(AND(VLOOKUP(AN9,'Feriados y días laborables'!$D$3:$E$9,2,0)="Si",NOT(ISNUMBER(VLOOKUP(DATE($A$4,$A$5+$A$3-1,AN8),Feriados,1,0)))),TRUE,FALSE),FALSE)</f>
        <v>0</v>
      </c>
      <c r="AO7" s="17" t="b">
        <f>IFERROR(IF(AND(VLOOKUP(AO9,'Feriados y días laborables'!$D$3:$E$9,2,0)="Si",NOT(ISNUMBER(VLOOKUP(DATE($A$4,$A$5+$A$3-1,AO8),Feriados,1,0)))),TRUE,FALSE),FALSE)</f>
        <v>0</v>
      </c>
      <c r="AP7" s="17" t="b">
        <f>IFERROR(IF(AND(VLOOKUP(AP9,'Feriados y días laborables'!$D$3:$E$9,2,0)="Si",NOT(ISNUMBER(VLOOKUP(DATE($A$4,$A$5+$A$3-1,AP8),Feriados,1,0)))),TRUE,FALSE),FALSE)</f>
        <v>0</v>
      </c>
      <c r="AQ7" s="17" t="b">
        <f>IFERROR(IF(AND(VLOOKUP(AQ9,'Feriados y días laborables'!$D$3:$E$9,2,0)="Si",NOT(ISNUMBER(VLOOKUP(DATE($A$4,$A$5+$A$3-1,AQ8),Feriados,1,0)))),TRUE,FALSE),FALSE)</f>
        <v>0</v>
      </c>
      <c r="AR7" s="17" t="b">
        <f>IFERROR(IF(AND(VLOOKUP(AR9,'Feriados y días laborables'!$D$3:$E$9,2,0)="Si",NOT(ISNUMBER(VLOOKUP(DATE($A$4,$A$5+$A$3-1,AR8),Feriados,1,0)))),TRUE,FALSE),FALSE)</f>
        <v>0</v>
      </c>
      <c r="AS7" s="17" t="b">
        <f>IFERROR(IF(AND(VLOOKUP(AS9,'Feriados y días laborables'!$D$3:$E$9,2,0)="Si",NOT(ISNUMBER(VLOOKUP(DATE($A$4,$A$5+$A$3-1,AS8),Feriados,1,0)))),TRUE,FALSE),FALSE)</f>
        <v>0</v>
      </c>
      <c r="AT7" s="17" t="b">
        <f>IFERROR(IF(AND(VLOOKUP(AT9,'Feriados y días laborables'!$D$3:$E$9,2,0)="Si",NOT(ISNUMBER(VLOOKUP(DATE($A$4,$A$5+$A$3-1,AT8),Feriados,1,0)))),TRUE,FALSE),FALSE)</f>
        <v>0</v>
      </c>
      <c r="AU7" s="17" t="b">
        <f>IFERROR(IF(AND(VLOOKUP(AU9,'Feriados y días laborables'!$D$3:$E$9,2,0)="Si",NOT(ISNUMBER(VLOOKUP(DATE($A$4,$A$5+$A$3-1,AU8),Feriados,1,0)))),TRUE,FALSE),FALSE)</f>
        <v>0</v>
      </c>
      <c r="AV7" s="17" t="b">
        <f>IFERROR(IF(AND(VLOOKUP(AV9,'Feriados y días laborables'!$D$3:$E$9,2,0)="Si",NOT(ISNUMBER(VLOOKUP(DATE($A$4,$A$5+$A$3-1,AV8),Feriados,1,0)))),TRUE,FALSE),FALSE)</f>
        <v>0</v>
      </c>
      <c r="AW7" s="17" t="b">
        <f>IFERROR(IF(AND(VLOOKUP(AW9,'Feriados y días laborables'!$D$3:$E$9,2,0)="Si",NOT(ISNUMBER(VLOOKUP(DATE($A$4,$A$5+$A$3-1,AW8),Feriados,1,0)))),TRUE,FALSE),FALSE)</f>
        <v>0</v>
      </c>
      <c r="AX7" s="17" t="b">
        <f>IFERROR(IF(AND(VLOOKUP(AX9,'Feriados y días laborables'!$D$3:$E$9,2,0)="Si",NOT(ISNUMBER(VLOOKUP(DATE($A$4,$A$5+$A$3-1,AX8),Feriados,1,0)))),TRUE,FALSE),FALSE)</f>
        <v>0</v>
      </c>
      <c r="AY7" s="17" t="b">
        <f>IFERROR(IF(AND(VLOOKUP(AY9,'Feriados y días laborables'!$D$3:$E$9,2,0)="Si",NOT(ISNUMBER(VLOOKUP(DATE($A$4,$A$5+$A$3-1,AY8),Feriados,1,0)))),TRUE,FALSE),FALSE)</f>
        <v>0</v>
      </c>
      <c r="AZ7" s="17" t="b">
        <f>IFERROR(IF(AND(VLOOKUP(AZ9,'Feriados y días laborables'!$D$3:$E$9,2,0)="Si",NOT(ISNUMBER(VLOOKUP(DATE($A$4,$A$5+$A$3-1,AZ8),Feriados,1,0)))),TRUE,FALSE),FALSE)</f>
        <v>0</v>
      </c>
      <c r="BA7" s="17" t="b">
        <f>IFERROR(IF(AND(VLOOKUP(BA9,'Feriados y días laborables'!$D$3:$E$9,2,0)="Si",NOT(ISNUMBER(VLOOKUP(DATE($A$4,$A$5+$A$3-1,BA8),Feriados,1,0)))),TRUE,FALSE),FALSE)</f>
        <v>0</v>
      </c>
      <c r="BB7" s="17" t="b">
        <f>IFERROR(IF(AND(VLOOKUP(BB9,'Feriados y días laborables'!$D$3:$E$9,2,0)="Si",NOT(ISNUMBER(VLOOKUP(DATE($A$4,$A$5+$A$3-1,BB8),Feriados,1,0)))),TRUE,FALSE),FALSE)</f>
        <v>0</v>
      </c>
      <c r="BC7" s="17" t="b">
        <f>IFERROR(IF(AND(VLOOKUP(BC9,'Feriados y días laborables'!$D$3:$E$9,2,0)="Si",NOT(ISNUMBER(VLOOKUP(DATE($A$4,$A$5+$A$3-1,BC8),Feriados,1,0)))),TRUE,FALSE),FALSE)</f>
        <v>0</v>
      </c>
      <c r="BD7" s="17" t="b">
        <f>IFERROR(IF(AND(VLOOKUP(BD9,'Feriados y días laborables'!$D$3:$E$9,2,0)="Si",NOT(ISNUMBER(VLOOKUP(DATE($A$4,$A$5+$A$3-1,BD8),Feriados,1,0)))),TRUE,FALSE),FALSE)</f>
        <v>0</v>
      </c>
      <c r="BE7" s="17" t="b">
        <f>IFERROR(IF(AND(VLOOKUP(BE9,'Feriados y días laborables'!$D$3:$E$9,2,0)="Si",NOT(ISNUMBER(VLOOKUP(DATE($A$4,$A$5+$A$3-1,BE8),Feriados,1,0)))),TRUE,FALSE),FALSE)</f>
        <v>0</v>
      </c>
      <c r="BF7" s="17" t="b">
        <f>IFERROR(IF(AND(VLOOKUP(BF9,'Feriados y días laborables'!$D$3:$E$9,2,0)="Si",NOT(ISNUMBER(VLOOKUP(DATE($A$4,$A$5+$A$3-1,BF8),Feriados,1,0)))),TRUE,FALSE),FALSE)</f>
        <v>0</v>
      </c>
      <c r="BG7" s="17" t="b">
        <f>IFERROR(IF(AND(VLOOKUP(BG9,'Feriados y días laborables'!$D$3:$E$9,2,0)="Si",NOT(ISNUMBER(VLOOKUP(DATE($A$4,$A$5+$A$3-1,BG8),Feriados,1,0)))),TRUE,FALSE),FALSE)</f>
        <v>0</v>
      </c>
      <c r="BH7" s="17" t="b">
        <f>IFERROR(IF(AND(VLOOKUP(BH9,'Feriados y días laborables'!$D$3:$E$9,2,0)="Si",NOT(ISNUMBER(VLOOKUP(DATE($A$4,$A$5+$A$3-1,BH8),Feriados,1,0)))),TRUE,FALSE),FALSE)</f>
        <v>0</v>
      </c>
      <c r="BI7" s="17" t="b">
        <f>IFERROR(IF(AND(VLOOKUP(BI9,'Feriados y días laborables'!$D$3:$E$9,2,0)="Si",NOT(ISNUMBER(VLOOKUP(DATE($A$4,$A$5+$A$3-1,BI8),Feriados,1,0)))),TRUE,FALSE),FALSE)</f>
        <v>0</v>
      </c>
      <c r="BJ7" s="17" t="b">
        <f>IFERROR(IF(AND(VLOOKUP(BJ9,'Feriados y días laborables'!$D$3:$E$9,2,0)="Si",NOT(ISNUMBER(VLOOKUP(DATE($A$4,$A$5+$A$3-1,BJ8),Feriados,1,0)))),TRUE,FALSE),FALSE)</f>
        <v>0</v>
      </c>
      <c r="BK7" s="17" t="b">
        <f>IFERROR(IF(AND(VLOOKUP(BK9,'Feriados y días laborables'!$D$3:$E$9,2,0)="Si",NOT(ISNUMBER(VLOOKUP(DATE($A$4,$A$5+$A$3-1,BK8),Feriados,1,0)))),TRUE,FALSE),FALSE)</f>
        <v>0</v>
      </c>
      <c r="BL7" s="17" t="b">
        <f>IFERROR(IF(AND(VLOOKUP(BL9,'Feriados y días laborables'!$D$3:$E$9,2,0)="Si",NOT(ISNUMBER(VLOOKUP(DATE($A$4,$A$5+$A$3-1,BL8),Feriados,1,0)))),TRUE,FALSE),FALSE)</f>
        <v>0</v>
      </c>
      <c r="BM7" s="17" t="b">
        <f>IFERROR(IF(AND(VLOOKUP(BM9,'Feriados y días laborables'!$D$3:$E$9,2,0)="Si",NOT(ISNUMBER(VLOOKUP(DATE($A$4,$A$5+$A$3-1,BM8),Feriados,1,0)))),TRUE,FALSE),FALSE)</f>
        <v>0</v>
      </c>
      <c r="BN7" s="17" t="b">
        <f>IFERROR(IF(AND(VLOOKUP(BN9,'Feriados y días laborables'!$D$3:$E$9,2,0)="Si",NOT(ISNUMBER(VLOOKUP(DATE($A$4,$A$5+$A$3-1,BN8),Feriados,1,0)))),TRUE,FALSE),FALSE)</f>
        <v>0</v>
      </c>
      <c r="BO7" s="17" t="b">
        <f>IFERROR(IF(AND(VLOOKUP(BO9,'Feriados y días laborables'!$D$3:$E$9,2,0)="Si",NOT(ISNUMBER(VLOOKUP(DATE($A$4,$A$5+$A$3-1,BO8),Feriados,1,0)))),TRUE,FALSE),FALSE)</f>
        <v>0</v>
      </c>
      <c r="BP7" s="17" t="b">
        <f>IFERROR(IF(AND(VLOOKUP(BP9,'Feriados y días laborables'!$D$3:$E$9,2,0)="Si",NOT(ISNUMBER(VLOOKUP(DATE($A$4,$A$5+$A$3-1,BP8),Feriados,1,0)))),TRUE,FALSE),FALSE)</f>
        <v>0</v>
      </c>
      <c r="BQ7" s="17" t="b">
        <f>IFERROR(IF(AND(VLOOKUP(BQ9,'Feriados y días laborables'!$D$3:$E$9,2,0)="Si",NOT(ISNUMBER(VLOOKUP(DATE($A$4,$A$5+$A$3-1,BQ8),Feriados,1,0)))),TRUE,FALSE),FALSE)</f>
        <v>0</v>
      </c>
      <c r="BR7" s="17" t="b">
        <f>IFERROR(IF(AND(VLOOKUP(BR9,'Feriados y días laborables'!$D$3:$E$9,2,0)="Si",NOT(ISNUMBER(VLOOKUP(DATE($A$4,$A$5+$A$3-1,BR8),Feriados,1,0)))),TRUE,FALSE),FALSE)</f>
        <v>0</v>
      </c>
      <c r="BS7" s="17" t="b">
        <f>IFERROR(IF(AND(VLOOKUP(BS9,'Feriados y días laborables'!$D$3:$E$9,2,0)="Si",NOT(ISNUMBER(VLOOKUP(DATE($A$4,$A$5+$A$3-1,BS8),Feriados,1,0)))),TRUE,FALSE),FALSE)</f>
        <v>0</v>
      </c>
      <c r="BT7" s="17" t="b">
        <f>IFERROR(IF(AND(VLOOKUP(BT9,'Feriados y días laborables'!$D$3:$E$9,2,0)="Si",NOT(ISNUMBER(VLOOKUP(DATE($A$4,$A$5+$A$3-1,BT8),Feriados,1,0)))),TRUE,FALSE),FALSE)</f>
        <v>0</v>
      </c>
      <c r="BU7" s="17" t="b">
        <f>IFERROR(IF(AND(VLOOKUP(BU9,'Feriados y días laborables'!$D$3:$E$9,2,0)="Si",NOT(ISNUMBER(VLOOKUP(DATE($A$4,$A$5+$A$3-1,BU8),Feriados,1,0)))),TRUE,FALSE),FALSE)</f>
        <v>0</v>
      </c>
      <c r="BV7" s="17" t="b">
        <f>IFERROR(IF(AND(VLOOKUP(BV9,'Feriados y días laborables'!$D$3:$E$9,2,0)="Si",NOT(ISNUMBER(VLOOKUP(DATE($A$4,$A$5+$A$3-1,BV8),Feriados,1,0)))),TRUE,FALSE),FALSE)</f>
        <v>0</v>
      </c>
      <c r="BW7" s="17" t="b">
        <f>IFERROR(IF(AND(VLOOKUP(BW9,'Feriados y días laborables'!$D$3:$E$9,2,0)="Si",NOT(ISNUMBER(VLOOKUP(DATE($A$4,$A$5+$A$3-1,BW8),Feriados,1,0)))),TRUE,FALSE),FALSE)</f>
        <v>0</v>
      </c>
      <c r="BX7" s="17" t="b">
        <f>IFERROR(IF(AND(VLOOKUP(BX9,'Feriados y días laborables'!$D$3:$E$9,2,0)="Si",NOT(ISNUMBER(VLOOKUP(DATE($A$4,$A$5+$A$3-1,BX8),Feriados,1,0)))),TRUE,FALSE),FALSE)</f>
        <v>0</v>
      </c>
      <c r="BY7" s="17" t="b">
        <f>IFERROR(IF(AND(VLOOKUP(BY9,'Feriados y días laborables'!$D$3:$E$9,2,0)="Si",NOT(ISNUMBER(VLOOKUP(DATE($A$4,$A$5+$A$3-1,BY8),Feriados,1,0)))),TRUE,FALSE),FALSE)</f>
        <v>0</v>
      </c>
      <c r="BZ7" s="17" t="b">
        <f>IFERROR(IF(AND(VLOOKUP(BZ9,'Feriados y días laborables'!$D$3:$E$9,2,0)="Si",NOT(ISNUMBER(VLOOKUP(DATE($A$4,$A$5+$A$3-1,BZ8),Feriados,1,0)))),TRUE,FALSE),FALSE)</f>
        <v>0</v>
      </c>
      <c r="CA7" s="17" t="b">
        <f>IFERROR(IF(AND(VLOOKUP(CA9,'Feriados y días laborables'!$D$3:$E$9,2,0)="Si",NOT(ISNUMBER(VLOOKUP(DATE($A$4,$A$5+$A$3-1,CA8),Feriados,1,0)))),TRUE,FALSE),FALSE)</f>
        <v>0</v>
      </c>
      <c r="CB7" s="17" t="b">
        <f>IFERROR(IF(AND(VLOOKUP(CB9,'Feriados y días laborables'!$D$3:$E$9,2,0)="Si",NOT(ISNUMBER(VLOOKUP(DATE($A$4,$A$5+$A$3-1,CB8),Feriados,1,0)))),TRUE,FALSE),FALSE)</f>
        <v>0</v>
      </c>
      <c r="CC7" s="17" t="b">
        <f>IFERROR(IF(AND(VLOOKUP(CC9,'Feriados y días laborables'!$D$3:$E$9,2,0)="Si",NOT(ISNUMBER(VLOOKUP(DATE($A$4,$A$5+$A$3-1,CC8),Feriados,1,0)))),TRUE,FALSE),FALSE)</f>
        <v>0</v>
      </c>
      <c r="CD7" s="17" t="b">
        <f>IFERROR(IF(AND(VLOOKUP(CD9,'Feriados y días laborables'!$D$3:$E$9,2,0)="Si",NOT(ISNUMBER(VLOOKUP(DATE($A$4,$A$5+$A$3-1,CD8),Feriados,1,0)))),TRUE,FALSE),FALSE)</f>
        <v>0</v>
      </c>
      <c r="CE7" s="17" t="b">
        <f>IFERROR(IF(AND(VLOOKUP(CE9,'Feriados y días laborables'!$D$3:$E$9,2,0)="Si",NOT(ISNUMBER(VLOOKUP(DATE($A$4,$A$5+$A$3-1,CE8),Feriados,1,0)))),TRUE,FALSE),FALSE)</f>
        <v>0</v>
      </c>
      <c r="CF7" s="17" t="b">
        <f>IFERROR(IF(AND(VLOOKUP(CF9,'Feriados y días laborables'!$D$3:$E$9,2,0)="Si",NOT(ISNUMBER(VLOOKUP(DATE($A$4,$A$5+$A$3-1,CF8),Feriados,1,0)))),TRUE,FALSE),FALSE)</f>
        <v>0</v>
      </c>
      <c r="CG7" s="17" t="b">
        <f>IFERROR(IF(AND(VLOOKUP(CG9,'Feriados y días laborables'!$D$3:$E$9,2,0)="Si",NOT(ISNUMBER(VLOOKUP(DATE($A$4,$A$5+$A$3-1,CG8),Feriados,1,0)))),TRUE,FALSE),FALSE)</f>
        <v>0</v>
      </c>
      <c r="CH7" s="17" t="b">
        <f>IFERROR(IF(AND(VLOOKUP(CH9,'Feriados y días laborables'!$D$3:$E$9,2,0)="Si",NOT(ISNUMBER(VLOOKUP(DATE($A$4,$A$5+$A$3-1,CH8),Feriados,1,0)))),TRUE,FALSE),FALSE)</f>
        <v>0</v>
      </c>
      <c r="CI7" s="17" t="b">
        <f>IFERROR(IF(AND(VLOOKUP(CI9,'Feriados y días laborables'!$D$3:$E$9,2,0)="Si",NOT(ISNUMBER(VLOOKUP(DATE($A$4,$A$5+$A$3-1,CI8),Feriados,1,0)))),TRUE,FALSE),FALSE)</f>
        <v>0</v>
      </c>
      <c r="CJ7" s="17" t="b">
        <f>IFERROR(IF(AND(VLOOKUP(CJ9,'Feriados y días laborables'!$D$3:$E$9,2,0)="Si",NOT(ISNUMBER(VLOOKUP(DATE($A$4,$A$5+$A$3-1,CJ8),Feriados,1,0)))),TRUE,FALSE),FALSE)</f>
        <v>0</v>
      </c>
      <c r="CK7" s="17" t="b">
        <f>IFERROR(IF(AND(VLOOKUP(CK9,'Feriados y días laborables'!$D$3:$E$9,2,0)="Si",NOT(ISNUMBER(VLOOKUP(DATE($A$4,$A$5+$A$3-1,CK8),Feriados,1,0)))),TRUE,FALSE),FALSE)</f>
        <v>0</v>
      </c>
      <c r="CL7" s="17" t="b">
        <f>IFERROR(IF(AND(VLOOKUP(CL9,'Feriados y días laborables'!$D$3:$E$9,2,0)="Si",NOT(ISNUMBER(VLOOKUP(DATE($A$4,$A$5+$A$3-1,CL8),Feriados,1,0)))),TRUE,FALSE),FALSE)</f>
        <v>0</v>
      </c>
      <c r="CM7" s="17" t="b">
        <f>IFERROR(IF(AND(VLOOKUP(CM9,'Feriados y días laborables'!$D$3:$E$9,2,0)="Si",NOT(ISNUMBER(VLOOKUP(DATE($A$4,$A$5+$A$3-1,CM8),Feriados,1,0)))),TRUE,FALSE),FALSE)</f>
        <v>0</v>
      </c>
      <c r="CN7" s="17" t="b">
        <f>IFERROR(IF(AND(VLOOKUP(CN9,'Feriados y días laborables'!$D$3:$E$9,2,0)="Si",NOT(ISNUMBER(VLOOKUP(DATE($A$4,$A$5+$A$3-1,CN8),Feriados,1,0)))),TRUE,FALSE),FALSE)</f>
        <v>0</v>
      </c>
      <c r="CO7" s="17" t="b">
        <f>IFERROR(IF(AND(VLOOKUP(CO9,'Feriados y días laborables'!$D$3:$E$9,2,0)="Si",NOT(ISNUMBER(VLOOKUP(DATE($A$4,$A$5+$A$3-1,CO8),Feriados,1,0)))),TRUE,FALSE),FALSE)</f>
        <v>0</v>
      </c>
      <c r="CP7" s="17" t="b">
        <f>IFERROR(IF(AND(VLOOKUP(CP9,'Feriados y días laborables'!$D$3:$E$9,2,0)="Si",NOT(ISNUMBER(VLOOKUP(DATE($A$4,$A$5+$A$3-1,CP8),Feriados,1,0)))),TRUE,FALSE),FALSE)</f>
        <v>0</v>
      </c>
      <c r="CQ7" s="17" t="b">
        <f>IFERROR(IF(AND(VLOOKUP(CQ9,'Feriados y días laborables'!$D$3:$E$9,2,0)="Si",NOT(ISNUMBER(VLOOKUP(DATE($A$4,$A$5+$A$3-1,CQ8),Feriados,1,0)))),TRUE,FALSE),FALSE)</f>
        <v>0</v>
      </c>
      <c r="CR7" s="17" t="b">
        <f>IFERROR(IF(AND(VLOOKUP(CR9,'Feriados y días laborables'!$D$3:$E$9,2,0)="Si",NOT(ISNUMBER(VLOOKUP(DATE($A$4,$A$5+$A$3-1,CR8),Feriados,1,0)))),TRUE,FALSE),FALSE)</f>
        <v>0</v>
      </c>
      <c r="CS7" s="17" t="b">
        <f>IFERROR(IF(AND(VLOOKUP(CS9,'Feriados y días laborables'!$D$3:$E$9,2,0)="Si",NOT(ISNUMBER(VLOOKUP(DATE($A$4,$A$5+$A$3-1,CS8),Feriados,1,0)))),TRUE,FALSE),FALSE)</f>
        <v>0</v>
      </c>
      <c r="CT7" s="17" t="b">
        <f>IFERROR(IF(AND(VLOOKUP(CT9,'Feriados y días laborables'!$D$3:$E$9,2,0)="Si",NOT(ISNUMBER(VLOOKUP(DATE($A$4,$A$5+$A$3-1,CT8),Feriados,1,0)))),TRUE,FALSE),FALSE)</f>
        <v>0</v>
      </c>
      <c r="CU7" s="17" t="b">
        <f>IFERROR(IF(AND(VLOOKUP(CU9,'Feriados y días laborables'!$D$3:$E$9,2,0)="Si",NOT(ISNUMBER(VLOOKUP(DATE($A$4,$A$5+$A$3-1,CU8),Feriados,1,0)))),TRUE,FALSE),FALSE)</f>
        <v>0</v>
      </c>
      <c r="CV7" s="17" t="b">
        <f>IFERROR(IF(AND(VLOOKUP(CV9,'Feriados y días laborables'!$D$3:$E$9,2,0)="Si",NOT(ISNUMBER(VLOOKUP(DATE($A$4,$A$5+$A$3-1,CV8),Feriados,1,0)))),TRUE,FALSE),FALSE)</f>
        <v>0</v>
      </c>
      <c r="CW7" s="17" t="b">
        <f>IFERROR(IF(AND(VLOOKUP(CW9,'Feriados y días laborables'!$D$3:$E$9,2,0)="Si",NOT(ISNUMBER(VLOOKUP(DATE($A$4,$A$5+$A$3-1,CW8),Feriados,1,0)))),TRUE,FALSE),FALSE)</f>
        <v>0</v>
      </c>
      <c r="CX7" s="17" t="b">
        <f>IFERROR(IF(AND(VLOOKUP(CX9,'Feriados y días laborables'!$D$3:$E$9,2,0)="Si",NOT(ISNUMBER(VLOOKUP(DATE($A$4,$A$5+$A$3-1,CX8),Feriados,1,0)))),TRUE,FALSE),FALSE)</f>
        <v>0</v>
      </c>
      <c r="CY7" s="17" t="b">
        <f>IFERROR(IF(AND(VLOOKUP(CY9,'Feriados y días laborables'!$D$3:$E$9,2,0)="Si",NOT(ISNUMBER(VLOOKUP(DATE($A$4,$A$5+$A$3-1,CY8),Feriados,1,0)))),TRUE,FALSE),FALSE)</f>
        <v>0</v>
      </c>
      <c r="CZ7" s="17" t="b">
        <f>IFERROR(IF(AND(VLOOKUP(CZ9,'Feriados y días laborables'!$D$3:$E$9,2,0)="Si",NOT(ISNUMBER(VLOOKUP(DATE($A$4,$A$5+$A$3-1,CZ8),Feriados,1,0)))),TRUE,FALSE),FALSE)</f>
        <v>0</v>
      </c>
      <c r="DA7" s="17" t="b">
        <f>IFERROR(IF(AND(VLOOKUP(DA9,'Feriados y días laborables'!$D$3:$E$9,2,0)="Si",NOT(ISNUMBER(VLOOKUP(DATE($A$4,$A$5+$A$3-1,DA8),Feriados,1,0)))),TRUE,FALSE),FALSE)</f>
        <v>0</v>
      </c>
      <c r="DB7" s="17" t="b">
        <f>IFERROR(IF(AND(VLOOKUP(DB9,'Feriados y días laborables'!$D$3:$E$9,2,0)="Si",NOT(ISNUMBER(VLOOKUP(DATE($A$4,$A$5+$A$3-1,DB8),Feriados,1,0)))),TRUE,FALSE),FALSE)</f>
        <v>0</v>
      </c>
      <c r="DC7" s="17" t="b">
        <f>IFERROR(IF(AND(VLOOKUP(DC9,'Feriados y días laborables'!$D$3:$E$9,2,0)="Si",NOT(ISNUMBER(VLOOKUP(DATE($A$4,$A$5+$A$3-1,DC8),Feriados,1,0)))),TRUE,FALSE),FALSE)</f>
        <v>0</v>
      </c>
      <c r="DD7" s="17" t="b">
        <f>IFERROR(IF(AND(VLOOKUP(DD9,'Feriados y días laborables'!$D$3:$E$9,2,0)="Si",NOT(ISNUMBER(VLOOKUP(DATE($A$4,$A$5+$A$3-1,DD8),Feriados,1,0)))),TRUE,FALSE),FALSE)</f>
        <v>0</v>
      </c>
      <c r="DE7" s="17" t="b">
        <f>IFERROR(IF(AND(VLOOKUP(DE9,'Feriados y días laborables'!$D$3:$E$9,2,0)="Si",NOT(ISNUMBER(VLOOKUP(DATE($A$4,$A$5+$A$3-1,DE8),Feriados,1,0)))),TRUE,FALSE),FALSE)</f>
        <v>0</v>
      </c>
      <c r="DF7" s="17" t="b">
        <f>IFERROR(IF(AND(VLOOKUP(DF9,'Feriados y días laborables'!$D$3:$E$9,2,0)="Si",NOT(ISNUMBER(VLOOKUP(DATE($A$4,$A$5+$A$3-1,DF8),Feriados,1,0)))),TRUE,FALSE),FALSE)</f>
        <v>0</v>
      </c>
      <c r="DG7" s="17" t="b">
        <f>IFERROR(IF(AND(VLOOKUP(DG9,'Feriados y días laborables'!$D$3:$E$9,2,0)="Si",NOT(ISNUMBER(VLOOKUP(DATE($A$4,$A$5+$A$3-1,DG8),Feriados,1,0)))),TRUE,FALSE),FALSE)</f>
        <v>0</v>
      </c>
      <c r="DH7" s="17" t="b">
        <f>IFERROR(IF(AND(VLOOKUP(DH9,'Feriados y días laborables'!$D$3:$E$9,2,0)="Si",NOT(ISNUMBER(VLOOKUP(DATE($A$4,$A$5+$A$3-1,DH8),Feriados,1,0)))),TRUE,FALSE),FALSE)</f>
        <v>0</v>
      </c>
      <c r="DI7" s="17" t="b">
        <f>IFERROR(IF(AND(VLOOKUP(DI9,'Feriados y días laborables'!$D$3:$E$9,2,0)="Si",NOT(ISNUMBER(VLOOKUP(DATE($A$4,$A$5+$A$3-1,DI8),Feriados,1,0)))),TRUE,FALSE),FALSE)</f>
        <v>0</v>
      </c>
      <c r="DJ7" s="17" t="b">
        <f>IFERROR(IF(AND(VLOOKUP(DJ9,'Feriados y días laborables'!$D$3:$E$9,2,0)="Si",NOT(ISNUMBER(VLOOKUP(DATE($A$4,$A$5+$A$3-1,DJ8),Feriados,1,0)))),TRUE,FALSE),FALSE)</f>
        <v>0</v>
      </c>
      <c r="DK7" s="17" t="b">
        <f>IFERROR(IF(AND(VLOOKUP(DK9,'Feriados y días laborables'!$D$3:$E$9,2,0)="Si",NOT(ISNUMBER(VLOOKUP(DATE($A$4,$A$5+$A$3-1,DK8),Feriados,1,0)))),TRUE,FALSE),FALSE)</f>
        <v>0</v>
      </c>
      <c r="DL7" s="17" t="b">
        <f>IFERROR(IF(AND(VLOOKUP(DL9,'Feriados y días laborables'!$D$3:$E$9,2,0)="Si",NOT(ISNUMBER(VLOOKUP(DATE($A$4,$A$5+$A$3-1,DL8),Feriados,1,0)))),TRUE,FALSE),FALSE)</f>
        <v>0</v>
      </c>
      <c r="DM7" s="17" t="b">
        <f>IFERROR(IF(AND(VLOOKUP(DM9,'Feriados y días laborables'!$D$3:$E$9,2,0)="Si",NOT(ISNUMBER(VLOOKUP(DATE($A$4,$A$5+$A$3-1,DM8),Feriados,1,0)))),TRUE,FALSE),FALSE)</f>
        <v>0</v>
      </c>
      <c r="DN7" s="17" t="b">
        <f>IFERROR(IF(AND(VLOOKUP(DN9,'Feriados y días laborables'!$D$3:$E$9,2,0)="Si",NOT(ISNUMBER(VLOOKUP(DATE($A$4,$A$5+$A$3-1,DN8),Feriados,1,0)))),TRUE,FALSE),FALSE)</f>
        <v>0</v>
      </c>
      <c r="DO7" s="17" t="b">
        <f>IFERROR(IF(AND(VLOOKUP(DO9,'Feriados y días laborables'!$D$3:$E$9,2,0)="Si",NOT(ISNUMBER(VLOOKUP(DATE($A$4,$A$5+$A$3-1,DO8),Feriados,1,0)))),TRUE,FALSE),FALSE)</f>
        <v>0</v>
      </c>
      <c r="DP7" s="17" t="b">
        <f>IFERROR(IF(AND(VLOOKUP(DP9,'Feriados y días laborables'!$D$3:$E$9,2,0)="Si",NOT(ISNUMBER(VLOOKUP(DATE($A$4,$A$5+$A$3-1,DP8),Feriados,1,0)))),TRUE,FALSE),FALSE)</f>
        <v>0</v>
      </c>
      <c r="DQ7" s="17" t="b">
        <f>IFERROR(IF(AND(VLOOKUP(DQ9,'Feriados y días laborables'!$D$3:$E$9,2,0)="Si",NOT(ISNUMBER(VLOOKUP(DATE($A$4,$A$5+$A$3-1,DQ8),Feriados,1,0)))),TRUE,FALSE),FALSE)</f>
        <v>0</v>
      </c>
      <c r="DR7" s="17" t="b">
        <f>IFERROR(IF(AND(VLOOKUP(DR9,'Feriados y días laborables'!$D$3:$E$9,2,0)="Si",NOT(ISNUMBER(VLOOKUP(DATE($A$4,$A$5+$A$3-1,DR8),Feriados,1,0)))),TRUE,FALSE),FALSE)</f>
        <v>0</v>
      </c>
      <c r="DS7" s="17" t="b">
        <f>IFERROR(IF(AND(VLOOKUP(DS9,'Feriados y días laborables'!$D$3:$E$9,2,0)="Si",NOT(ISNUMBER(VLOOKUP(DATE($A$4,$A$5+$A$3-1,DS8),Feriados,1,0)))),TRUE,FALSE),FALSE)</f>
        <v>0</v>
      </c>
      <c r="DT7" s="17" t="b">
        <f>IFERROR(IF(AND(VLOOKUP(DT9,'Feriados y días laborables'!$D$3:$E$9,2,0)="Si",NOT(ISNUMBER(VLOOKUP(DATE($A$4,$A$5+$A$3-1,DT8),Feriados,1,0)))),TRUE,FALSE),FALSE)</f>
        <v>0</v>
      </c>
      <c r="DU7" s="17" t="b">
        <f>IFERROR(IF(AND(VLOOKUP(DU9,'Feriados y días laborables'!$D$3:$E$9,2,0)="Si",NOT(ISNUMBER(VLOOKUP(DATE($A$4,$A$5+$A$3-1,DU8),Feriados,1,0)))),TRUE,FALSE),FALSE)</f>
        <v>0</v>
      </c>
      <c r="DV7" s="17" t="b">
        <f>IFERROR(IF(AND(VLOOKUP(DV9,'Feriados y días laborables'!$D$3:$E$9,2,0)="Si",NOT(ISNUMBER(VLOOKUP(DATE($A$4,$A$5+$A$3-1,DV8),Feriados,1,0)))),TRUE,FALSE),FALSE)</f>
        <v>0</v>
      </c>
      <c r="DW7" s="17" t="b">
        <f>IFERROR(IF(AND(VLOOKUP(DW9,'Feriados y días laborables'!$D$3:$E$9,2,0)="Si",NOT(ISNUMBER(VLOOKUP(DATE($A$4,$A$5+$A$3-1,DW8),Feriados,1,0)))),TRUE,FALSE),FALSE)</f>
        <v>0</v>
      </c>
      <c r="DX7" s="17" t="b">
        <f>IFERROR(IF(AND(VLOOKUP(DX9,'Feriados y días laborables'!$D$3:$E$9,2,0)="Si",NOT(ISNUMBER(VLOOKUP(DATE($A$4,$A$5+$A$3-1,DX8),Feriados,1,0)))),TRUE,FALSE),FALSE)</f>
        <v>0</v>
      </c>
      <c r="DY7" s="17" t="b">
        <f>IFERROR(IF(AND(VLOOKUP(DY9,'Feriados y días laborables'!$D$3:$E$9,2,0)="Si",NOT(ISNUMBER(VLOOKUP(DATE($A$4,$A$5+$A$3-1,DY8),Feriados,1,0)))),TRUE,FALSE),FALSE)</f>
        <v>0</v>
      </c>
      <c r="DZ7" s="17" t="b">
        <f>IFERROR(IF(AND(VLOOKUP(DZ9,'Feriados y días laborables'!$D$3:$E$9,2,0)="Si",NOT(ISNUMBER(VLOOKUP(DATE($A$4,$A$5+$A$3-1,DZ8),Feriados,1,0)))),TRUE,FALSE),FALSE)</f>
        <v>0</v>
      </c>
      <c r="EA7" s="17" t="b">
        <f>IFERROR(IF(AND(VLOOKUP(EA9,'Feriados y días laborables'!$D$3:$E$9,2,0)="Si",NOT(ISNUMBER(VLOOKUP(DATE($A$4,$A$5+$A$3-1,EA8),Feriados,1,0)))),TRUE,FALSE),FALSE)</f>
        <v>0</v>
      </c>
      <c r="EB7" s="17" t="b">
        <f>IFERROR(IF(AND(VLOOKUP(EB9,'Feriados y días laborables'!$D$3:$E$9,2,0)="Si",NOT(ISNUMBER(VLOOKUP(DATE($A$4,$A$5+$A$3-1,EB8),Feriados,1,0)))),TRUE,FALSE),FALSE)</f>
        <v>0</v>
      </c>
      <c r="EC7" s="17" t="b">
        <f>IFERROR(IF(AND(VLOOKUP(EC9,'Feriados y días laborables'!$D$3:$E$9,2,0)="Si",NOT(ISNUMBER(VLOOKUP(DATE($A$4,$A$5+$A$3-1,EC8),Feriados,1,0)))),TRUE,FALSE),FALSE)</f>
        <v>0</v>
      </c>
      <c r="ED7" s="17" t="b">
        <f>IFERROR(IF(AND(VLOOKUP(ED9,'Feriados y días laborables'!$D$3:$E$9,2,0)="Si",NOT(ISNUMBER(VLOOKUP(DATE($A$4,$A$5+$A$3-1,ED8),Feriados,1,0)))),TRUE,FALSE),FALSE)</f>
        <v>0</v>
      </c>
      <c r="EE7" s="17" t="b">
        <f>IFERROR(IF(AND(VLOOKUP(EE9,'Feriados y días laborables'!$D$3:$E$9,2,0)="Si",NOT(ISNUMBER(VLOOKUP(DATE($A$4,$A$5+$A$3-1,EE8),Feriados,1,0)))),TRUE,FALSE),FALSE)</f>
        <v>0</v>
      </c>
      <c r="EF7" s="17" t="b">
        <f>IFERROR(IF(AND(VLOOKUP(EF9,'Feriados y días laborables'!$D$3:$E$9,2,0)="Si",NOT(ISNUMBER(VLOOKUP(DATE($A$4,$A$5+$A$3-1,EF8),Feriados,1,0)))),TRUE,FALSE),FALSE)</f>
        <v>0</v>
      </c>
      <c r="EG7" s="17" t="b">
        <f>IFERROR(IF(AND(VLOOKUP(EG9,'Feriados y días laborables'!$D$3:$E$9,2,0)="Si",NOT(ISNUMBER(VLOOKUP(DATE($A$4,$A$5+$A$3-1,EG8),Feriados,1,0)))),TRUE,FALSE),FALSE)</f>
        <v>0</v>
      </c>
      <c r="EH7" s="17" t="b">
        <f>IFERROR(IF(AND(VLOOKUP(EH9,'Feriados y días laborables'!$D$3:$E$9,2,0)="Si",NOT(ISNUMBER(VLOOKUP(DATE($A$4,$A$5+$A$3-1,EH8),Feriados,1,0)))),TRUE,FALSE),FALSE)</f>
        <v>0</v>
      </c>
      <c r="EI7" s="17" t="b">
        <f>IFERROR(IF(AND(VLOOKUP(EI9,'Feriados y días laborables'!$D$3:$E$9,2,0)="Si",NOT(ISNUMBER(VLOOKUP(DATE($A$4,$A$5+$A$3-1,EI8),Feriados,1,0)))),TRUE,FALSE),FALSE)</f>
        <v>0</v>
      </c>
      <c r="EJ7" s="17" t="b">
        <f>IFERROR(IF(AND(VLOOKUP(EJ9,'Feriados y días laborables'!$D$3:$E$9,2,0)="Si",NOT(ISNUMBER(VLOOKUP(DATE($A$4,$A$5+$A$3-1,EJ8),Feriados,1,0)))),TRUE,FALSE),FALSE)</f>
        <v>0</v>
      </c>
      <c r="EK7" s="17" t="b">
        <f>IFERROR(IF(AND(VLOOKUP(EK9,'Feriados y días laborables'!$D$3:$E$9,2,0)="Si",NOT(ISNUMBER(VLOOKUP(DATE($A$4,$A$5+$A$3-1,EK8),Feriados,1,0)))),TRUE,FALSE),FALSE)</f>
        <v>0</v>
      </c>
      <c r="EL7" s="17" t="b">
        <f>IFERROR(IF(AND(VLOOKUP(EL9,'Feriados y días laborables'!$D$3:$E$9,2,0)="Si",NOT(ISNUMBER(VLOOKUP(DATE($A$4,$A$5+$A$3-1,EL8),Feriados,1,0)))),TRUE,FALSE),FALSE)</f>
        <v>0</v>
      </c>
      <c r="EM7" s="17" t="b">
        <f>IFERROR(IF(AND(VLOOKUP(EM9,'Feriados y días laborables'!$D$3:$E$9,2,0)="Si",NOT(ISNUMBER(VLOOKUP(DATE($A$4,$A$5+$A$3-1,EM8),Feriados,1,0)))),TRUE,FALSE),FALSE)</f>
        <v>0</v>
      </c>
      <c r="EN7" s="17" t="b">
        <f>IFERROR(IF(AND(VLOOKUP(EN9,'Feriados y días laborables'!$D$3:$E$9,2,0)="Si",NOT(ISNUMBER(VLOOKUP(DATE($A$4,$A$5+$A$3-1,EN8),Feriados,1,0)))),TRUE,FALSE),FALSE)</f>
        <v>0</v>
      </c>
      <c r="EO7" s="17" t="b">
        <f>IFERROR(IF(AND(VLOOKUP(EO9,'Feriados y días laborables'!$D$3:$E$9,2,0)="Si",NOT(ISNUMBER(VLOOKUP(DATE($A$4,$A$5+$A$3-1,EO8),Feriados,1,0)))),TRUE,FALSE),FALSE)</f>
        <v>0</v>
      </c>
      <c r="EP7" s="17" t="b">
        <f>IFERROR(IF(AND(VLOOKUP(EP9,'Feriados y días laborables'!$D$3:$E$9,2,0)="Si",NOT(ISNUMBER(VLOOKUP(DATE($A$4,$A$5+$A$3-1,EP8),Feriados,1,0)))),TRUE,FALSE),FALSE)</f>
        <v>0</v>
      </c>
      <c r="EQ7" s="17" t="b">
        <f>IFERROR(IF(AND(VLOOKUP(EQ9,'Feriados y días laborables'!$D$3:$E$9,2,0)="Si",NOT(ISNUMBER(VLOOKUP(DATE($A$4,$A$5+$A$3-1,EQ8),Feriados,1,0)))),TRUE,FALSE),FALSE)</f>
        <v>0</v>
      </c>
      <c r="ER7" s="17" t="b">
        <f>IFERROR(IF(AND(VLOOKUP(ER9,'Feriados y días laborables'!$D$3:$E$9,2,0)="Si",NOT(ISNUMBER(VLOOKUP(DATE($A$4,$A$5+$A$3-1,ER8),Feriados,1,0)))),TRUE,FALSE),FALSE)</f>
        <v>0</v>
      </c>
      <c r="ES7" s="17" t="b">
        <f>IFERROR(IF(AND(VLOOKUP(ES9,'Feriados y días laborables'!$D$3:$E$9,2,0)="Si",NOT(ISNUMBER(VLOOKUP(DATE($A$4,$A$5+$A$3-1,ES8),Feriados,1,0)))),TRUE,FALSE),FALSE)</f>
        <v>0</v>
      </c>
      <c r="ET7" s="17" t="b">
        <f>IFERROR(IF(AND(VLOOKUP(ET9,'Feriados y días laborables'!$D$3:$E$9,2,0)="Si",NOT(ISNUMBER(VLOOKUP(DATE($A$4,$A$5+$A$3-1,ET8),Feriados,1,0)))),TRUE,FALSE),FALSE)</f>
        <v>0</v>
      </c>
      <c r="EU7" s="17" t="b">
        <f>IFERROR(IF(AND(VLOOKUP(EU9,'Feriados y días laborables'!$D$3:$E$9,2,0)="Si",NOT(ISNUMBER(VLOOKUP(DATE($A$4,$A$5+$A$3-1,EU8),Feriados,1,0)))),TRUE,FALSE),FALSE)</f>
        <v>0</v>
      </c>
      <c r="EV7" s="17" t="b">
        <f>IFERROR(IF(AND(VLOOKUP(EV9,'Feriados y días laborables'!$D$3:$E$9,2,0)="Si",NOT(ISNUMBER(VLOOKUP(DATE($A$4,$A$5+$A$3-1,EV8),Feriados,1,0)))),TRUE,FALSE),FALSE)</f>
        <v>0</v>
      </c>
      <c r="EW7" s="17" t="b">
        <f>IFERROR(IF(AND(VLOOKUP(EW9,'Feriados y días laborables'!$D$3:$E$9,2,0)="Si",NOT(ISNUMBER(VLOOKUP(DATE($A$4,$A$5+$A$3-1,EW8),Feriados,1,0)))),TRUE,FALSE),FALSE)</f>
        <v>0</v>
      </c>
      <c r="EX7" s="17" t="b">
        <f>IFERROR(IF(AND(VLOOKUP(EX9,'Feriados y días laborables'!$D$3:$E$9,2,0)="Si",NOT(ISNUMBER(VLOOKUP(DATE($A$4,$A$5+$A$3-1,EX8),Feriados,1,0)))),TRUE,FALSE),FALSE)</f>
        <v>0</v>
      </c>
      <c r="EY7" s="17" t="b">
        <f>IFERROR(IF(AND(VLOOKUP(EY9,'Feriados y días laborables'!$D$3:$E$9,2,0)="Si",NOT(ISNUMBER(VLOOKUP(DATE($A$4,$A$5+$A$3-1,EY8),Feriados,1,0)))),TRUE,FALSE),FALSE)</f>
        <v>0</v>
      </c>
      <c r="EZ7" s="17" t="b">
        <f>IFERROR(IF(AND(VLOOKUP(EZ9,'Feriados y días laborables'!$D$3:$E$9,2,0)="Si",NOT(ISNUMBER(VLOOKUP(DATE($A$4,$A$5+$A$3-1,EZ8),Feriados,1,0)))),TRUE,FALSE),FALSE)</f>
        <v>0</v>
      </c>
      <c r="FA7" s="17" t="b">
        <f>IFERROR(IF(AND(VLOOKUP(FA9,'Feriados y días laborables'!$D$3:$E$9,2,0)="Si",NOT(ISNUMBER(VLOOKUP(DATE($A$4,$A$5+$A$3-1,FA8),Feriados,1,0)))),TRUE,FALSE),FALSE)</f>
        <v>0</v>
      </c>
      <c r="FB7" s="17" t="b">
        <f>IFERROR(IF(AND(VLOOKUP(FB9,'Feriados y días laborables'!$D$3:$E$9,2,0)="Si",NOT(ISNUMBER(VLOOKUP(DATE($A$4,$A$5+$A$3-1,FB8),Feriados,1,0)))),TRUE,FALSE),FALSE)</f>
        <v>0</v>
      </c>
      <c r="FC7" s="17" t="b">
        <f>IFERROR(IF(AND(VLOOKUP(FC9,'Feriados y días laborables'!$D$3:$E$9,2,0)="Si",NOT(ISNUMBER(VLOOKUP(DATE($A$4,$A$5+$A$3-1,FC8),Feriados,1,0)))),TRUE,FALSE),FALSE)</f>
        <v>0</v>
      </c>
      <c r="FD7" s="17" t="b">
        <f>IFERROR(IF(AND(VLOOKUP(FD9,'Feriados y días laborables'!$D$3:$E$9,2,0)="Si",NOT(ISNUMBER(VLOOKUP(DATE($A$4,$A$5+$A$3-1,FD8),Feriados,1,0)))),TRUE,FALSE),FALSE)</f>
        <v>0</v>
      </c>
      <c r="FE7" s="17" t="b">
        <f>IFERROR(IF(AND(VLOOKUP(FE9,'Feriados y días laborables'!$D$3:$E$9,2,0)="Si",NOT(ISNUMBER(VLOOKUP(DATE($A$4,$A$5+$A$3-1,FE8),Feriados,1,0)))),TRUE,FALSE),FALSE)</f>
        <v>0</v>
      </c>
      <c r="FF7" s="17" t="b">
        <f>IFERROR(IF(AND(VLOOKUP(FF9,'Feriados y días laborables'!$D$3:$E$9,2,0)="Si",NOT(ISNUMBER(VLOOKUP(DATE($A$4,$A$5+$A$3-1,FF8),Feriados,1,0)))),TRUE,FALSE),FALSE)</f>
        <v>0</v>
      </c>
      <c r="FG7" s="17" t="b">
        <f>IFERROR(IF(AND(VLOOKUP(FG9,'Feriados y días laborables'!$D$3:$E$9,2,0)="Si",NOT(ISNUMBER(VLOOKUP(DATE($A$4,$A$5+$A$3-1,FG8),Feriados,1,0)))),TRUE,FALSE),FALSE)</f>
        <v>0</v>
      </c>
      <c r="FH7" s="17" t="b">
        <f>IFERROR(IF(AND(VLOOKUP(FH9,'Feriados y días laborables'!$D$3:$E$9,2,0)="Si",NOT(ISNUMBER(VLOOKUP(DATE($A$4,$A$5+$A$3-1,FH8),Feriados,1,0)))),TRUE,FALSE),FALSE)</f>
        <v>0</v>
      </c>
      <c r="FI7" s="17" t="b">
        <f>IFERROR(IF(AND(VLOOKUP(FI9,'Feriados y días laborables'!$D$3:$E$9,2,0)="Si",NOT(ISNUMBER(VLOOKUP(DATE($A$4,$A$5+$A$3-1,FI8),Feriados,1,0)))),TRUE,FALSE),FALSE)</f>
        <v>0</v>
      </c>
      <c r="FJ7" s="17" t="b">
        <f>IFERROR(IF(AND(VLOOKUP(FJ9,'Feriados y días laborables'!$D$3:$E$9,2,0)="Si",NOT(ISNUMBER(VLOOKUP(DATE($A$4,$A$5+$A$3-1,FJ8),Feriados,1,0)))),TRUE,FALSE),FALSE)</f>
        <v>0</v>
      </c>
      <c r="FK7" s="17" t="b">
        <f>IFERROR(IF(AND(VLOOKUP(FK9,'Feriados y días laborables'!$D$3:$E$9,2,0)="Si",NOT(ISNUMBER(VLOOKUP(DATE($A$4,$A$5+$A$3-1,FK8),Feriados,1,0)))),TRUE,FALSE),FALSE)</f>
        <v>0</v>
      </c>
      <c r="FL7" s="17" t="b">
        <f>IFERROR(IF(AND(VLOOKUP(FL9,'Feriados y días laborables'!$D$3:$E$9,2,0)="Si",NOT(ISNUMBER(VLOOKUP(DATE($A$4,$A$5+$A$3-1,FL8),Feriados,1,0)))),TRUE,FALSE),FALSE)</f>
        <v>0</v>
      </c>
      <c r="FM7" s="17" t="b">
        <f>IFERROR(IF(AND(VLOOKUP(FM9,'Feriados y días laborables'!$D$3:$E$9,2,0)="Si",NOT(ISNUMBER(VLOOKUP(DATE($A$4,$A$5+$A$3-1,FM8),Feriados,1,0)))),TRUE,FALSE),FALSE)</f>
        <v>0</v>
      </c>
      <c r="FN7" s="17" t="b">
        <f>IFERROR(IF(AND(VLOOKUP(FN9,'Feriados y días laborables'!$D$3:$E$9,2,0)="Si",NOT(ISNUMBER(VLOOKUP(DATE($A$4,$A$5+$A$3-1,FN8),Feriados,1,0)))),TRUE,FALSE),FALSE)</f>
        <v>0</v>
      </c>
      <c r="FO7" s="17" t="b">
        <f>IFERROR(IF(AND(VLOOKUP(FO9,'Feriados y días laborables'!$D$3:$E$9,2,0)="Si",NOT(ISNUMBER(VLOOKUP(DATE($A$4,$A$5+$A$3-1,FO8),Feriados,1,0)))),TRUE,FALSE),FALSE)</f>
        <v>0</v>
      </c>
      <c r="FP7" s="17" t="b">
        <f>IFERROR(IF(AND(VLOOKUP(FP9,'Feriados y días laborables'!$D$3:$E$9,2,0)="Si",NOT(ISNUMBER(VLOOKUP(DATE($A$4,$A$5+$A$3-1,FP8),Feriados,1,0)))),TRUE,FALSE),FALSE)</f>
        <v>0</v>
      </c>
      <c r="FQ7" s="17" t="b">
        <f>IFERROR(IF(AND(VLOOKUP(FQ9,'Feriados y días laborables'!$D$3:$E$9,2,0)="Si",NOT(ISNUMBER(VLOOKUP(DATE($A$4,$A$5+$A$3-1,FQ8),Feriados,1,0)))),TRUE,FALSE),FALSE)</f>
        <v>0</v>
      </c>
      <c r="FR7" s="17" t="b">
        <f>IFERROR(IF(AND(VLOOKUP(FR9,'Feriados y días laborables'!$D$3:$E$9,2,0)="Si",NOT(ISNUMBER(VLOOKUP(DATE($A$4,$A$5+$A$3-1,FR8),Feriados,1,0)))),TRUE,FALSE),FALSE)</f>
        <v>0</v>
      </c>
      <c r="FS7" s="17" t="b">
        <f>IFERROR(IF(AND(VLOOKUP(FS9,'Feriados y días laborables'!$D$3:$E$9,2,0)="Si",NOT(ISNUMBER(VLOOKUP(DATE($A$4,$A$5+$A$3-1,FS8),Feriados,1,0)))),TRUE,FALSE),FALSE)</f>
        <v>0</v>
      </c>
      <c r="FT7" s="17" t="b">
        <f>IFERROR(IF(AND(VLOOKUP(FT9,'Feriados y días laborables'!$D$3:$E$9,2,0)="Si",NOT(ISNUMBER(VLOOKUP(DATE($A$4,$A$5+$A$3-1,FT8),Feriados,1,0)))),TRUE,FALSE),FALSE)</f>
        <v>0</v>
      </c>
      <c r="FU7" s="17" t="b">
        <f>IFERROR(IF(AND(VLOOKUP(FU9,'Feriados y días laborables'!$D$3:$E$9,2,0)="Si",NOT(ISNUMBER(VLOOKUP(DATE($A$4,$A$5+$A$3-1,FU8),Feriados,1,0)))),TRUE,FALSE),FALSE)</f>
        <v>0</v>
      </c>
      <c r="FV7" s="17" t="b">
        <f>IFERROR(IF(AND(VLOOKUP(FV9,'Feriados y días laborables'!$D$3:$E$9,2,0)="Si",NOT(ISNUMBER(VLOOKUP(DATE($A$4,$A$5+$A$3-1,FV8),Feriados,1,0)))),TRUE,FALSE),FALSE)</f>
        <v>0</v>
      </c>
      <c r="FW7" s="17" t="b">
        <f>IFERROR(IF(AND(VLOOKUP(FW9,'Feriados y días laborables'!$D$3:$E$9,2,0)="Si",NOT(ISNUMBER(VLOOKUP(DATE($A$4,$A$5+$A$3-1,FW8),Feriados,1,0)))),TRUE,FALSE),FALSE)</f>
        <v>0</v>
      </c>
      <c r="FX7" s="17" t="b">
        <f>IFERROR(IF(AND(VLOOKUP(FX9,'Feriados y días laborables'!$D$3:$E$9,2,0)="Si",NOT(ISNUMBER(VLOOKUP(DATE($A$4,$A$5+$A$3-1,FX8),Feriados,1,0)))),TRUE,FALSE),FALSE)</f>
        <v>0</v>
      </c>
      <c r="FY7" s="17" t="b">
        <f>IFERROR(IF(AND(VLOOKUP(FY9,'Feriados y días laborables'!$D$3:$E$9,2,0)="Si",NOT(ISNUMBER(VLOOKUP(DATE($A$4,$A$5+$A$3-1,FY8),Feriados,1,0)))),TRUE,FALSE),FALSE)</f>
        <v>0</v>
      </c>
      <c r="FZ7" s="17" t="b">
        <f>IFERROR(IF(AND(VLOOKUP(FZ9,'Feriados y días laborables'!$D$3:$E$9,2,0)="Si",NOT(ISNUMBER(VLOOKUP(DATE($A$4,$A$5+$A$3-1,FZ8),Feriados,1,0)))),TRUE,FALSE),FALSE)</f>
        <v>0</v>
      </c>
      <c r="GA7" s="17" t="b">
        <f>IFERROR(IF(AND(VLOOKUP(GA9,'Feriados y días laborables'!$D$3:$E$9,2,0)="Si",NOT(ISNUMBER(VLOOKUP(DATE($A$4,$A$5+$A$3-1,GA8),Feriados,1,0)))),TRUE,FALSE),FALSE)</f>
        <v>0</v>
      </c>
      <c r="GB7" s="17" t="b">
        <f>IFERROR(IF(AND(VLOOKUP(GB9,'Feriados y días laborables'!$D$3:$E$9,2,0)="Si",NOT(ISNUMBER(VLOOKUP(DATE($A$4,$A$5+$A$3-1,GB8),Feriados,1,0)))),TRUE,FALSE),FALSE)</f>
        <v>0</v>
      </c>
      <c r="GC7" s="17" t="b">
        <f>IFERROR(IF(AND(VLOOKUP(GC9,'Feriados y días laborables'!$D$3:$E$9,2,0)="Si",NOT(ISNUMBER(VLOOKUP(DATE($A$4,$A$5+$A$3-1,GC8),Feriados,1,0)))),TRUE,FALSE),FALSE)</f>
        <v>0</v>
      </c>
      <c r="GD7" s="17" t="b">
        <f>IFERROR(IF(AND(VLOOKUP(GD9,'Feriados y días laborables'!$D$3:$E$9,2,0)="Si",NOT(ISNUMBER(VLOOKUP(DATE($A$4,$A$5+$A$3-1,GD8),Feriados,1,0)))),TRUE,FALSE),FALSE)</f>
        <v>0</v>
      </c>
      <c r="GE7" s="17" t="b">
        <f>IFERROR(IF(AND(VLOOKUP(GE9,'Feriados y días laborables'!$D$3:$E$9,2,0)="Si",NOT(ISNUMBER(VLOOKUP(DATE($A$4,$A$5+$A$3-1,GE8),Feriados,1,0)))),TRUE,FALSE),FALSE)</f>
        <v>0</v>
      </c>
      <c r="GF7" s="17" t="b">
        <f>IFERROR(IF(AND(VLOOKUP(GF9,'Feriados y días laborables'!$D$3:$E$9,2,0)="Si",NOT(ISNUMBER(VLOOKUP(DATE($A$4,$A$5+$A$3-1,GF8),Feriados,1,0)))),TRUE,FALSE),FALSE)</f>
        <v>0</v>
      </c>
      <c r="GG7" s="17" t="b">
        <f>IFERROR(IF(AND(VLOOKUP(GG9,'Feriados y días laborables'!$D$3:$E$9,2,0)="Si",NOT(ISNUMBER(VLOOKUP(DATE($A$4,$A$5+$A$3-1,GG8),Feriados,1,0)))),TRUE,FALSE),FALSE)</f>
        <v>0</v>
      </c>
      <c r="GH7" s="17" t="b">
        <f>IFERROR(IF(AND(VLOOKUP(GH9,'Feriados y días laborables'!$D$3:$E$9,2,0)="Si",NOT(ISNUMBER(VLOOKUP(DATE($A$4,$A$5+$A$3-1,GH8),Feriados,1,0)))),TRUE,FALSE),FALSE)</f>
        <v>0</v>
      </c>
      <c r="GI7" s="17" t="b">
        <f>IFERROR(IF(AND(VLOOKUP(GI9,'Feriados y días laborables'!$D$3:$E$9,2,0)="Si",NOT(ISNUMBER(VLOOKUP(DATE($A$4,$A$5+$A$3-1,GI8),Feriados,1,0)))),TRUE,FALSE),FALSE)</f>
        <v>0</v>
      </c>
      <c r="GJ7" s="17" t="b">
        <f>IFERROR(IF(AND(VLOOKUP(GJ9,'Feriados y días laborables'!$D$3:$E$9,2,0)="Si",NOT(ISNUMBER(VLOOKUP(DATE($A$4,$A$5+$A$3-1,GJ8),Feriados,1,0)))),TRUE,FALSE),FALSE)</f>
        <v>0</v>
      </c>
      <c r="GK7" s="17" t="b">
        <f>IFERROR(IF(AND(VLOOKUP(GK9,'Feriados y días laborables'!$D$3:$E$9,2,0)="Si",NOT(ISNUMBER(VLOOKUP(DATE($A$4,$A$5+$A$3-1,GK8),Feriados,1,0)))),TRUE,FALSE),FALSE)</f>
        <v>0</v>
      </c>
      <c r="GL7" s="17" t="b">
        <f>IFERROR(IF(AND(VLOOKUP(GL9,'Feriados y días laborables'!$D$3:$E$9,2,0)="Si",NOT(ISNUMBER(VLOOKUP(DATE($A$4,$A$5+$A$3-1,GL8),Feriados,1,0)))),TRUE,FALSE),FALSE)</f>
        <v>0</v>
      </c>
      <c r="GM7" s="17" t="b">
        <f>IFERROR(IF(AND(VLOOKUP(GM9,'Feriados y días laborables'!$D$3:$E$9,2,0)="Si",NOT(ISNUMBER(VLOOKUP(DATE($A$4,$A$5+$A$3-1,GM8),Feriados,1,0)))),TRUE,FALSE),FALSE)</f>
        <v>0</v>
      </c>
      <c r="GN7" s="17" t="b">
        <f>IFERROR(IF(AND(VLOOKUP(GN9,'Feriados y días laborables'!$D$3:$E$9,2,0)="Si",NOT(ISNUMBER(VLOOKUP(DATE($A$4,$A$5+$A$3-1,GN8),Feriados,1,0)))),TRUE,FALSE),FALSE)</f>
        <v>0</v>
      </c>
      <c r="GO7" s="17" t="b">
        <f>IFERROR(IF(AND(VLOOKUP(GO9,'Feriados y días laborables'!$D$3:$E$9,2,0)="Si",NOT(ISNUMBER(VLOOKUP(DATE($A$4,$A$5+$A$3-1,GO8),Feriados,1,0)))),TRUE,FALSE),FALSE)</f>
        <v>0</v>
      </c>
      <c r="GP7" s="17" t="b">
        <f>IFERROR(IF(AND(VLOOKUP(GP9,'Feriados y días laborables'!$D$3:$E$9,2,0)="Si",NOT(ISNUMBER(VLOOKUP(DATE($A$4,$A$5+$A$3-1,GP8),Feriados,1,0)))),TRUE,FALSE),FALSE)</f>
        <v>0</v>
      </c>
      <c r="GQ7" s="17" t="b">
        <f>IFERROR(IF(AND(VLOOKUP(GQ9,'Feriados y días laborables'!$D$3:$E$9,2,0)="Si",NOT(ISNUMBER(VLOOKUP(DATE($A$4,$A$5+$A$3-1,GQ8),Feriados,1,0)))),TRUE,FALSE),FALSE)</f>
        <v>0</v>
      </c>
      <c r="GR7" s="17" t="b">
        <f>IFERROR(IF(AND(VLOOKUP(GR9,'Feriados y días laborables'!$D$3:$E$9,2,0)="Si",NOT(ISNUMBER(VLOOKUP(DATE($A$4,$A$5+$A$3-1,GR8),Feriados,1,0)))),TRUE,FALSE),FALSE)</f>
        <v>0</v>
      </c>
      <c r="GS7" s="17" t="b">
        <f>IFERROR(IF(AND(VLOOKUP(GS9,'Feriados y días laborables'!$D$3:$E$9,2,0)="Si",NOT(ISNUMBER(VLOOKUP(DATE($A$4,$A$5+$A$3-1,GS8),Feriados,1,0)))),TRUE,FALSE),FALSE)</f>
        <v>0</v>
      </c>
      <c r="GT7" s="17" t="b">
        <f>IFERROR(IF(AND(VLOOKUP(GT9,'Feriados y días laborables'!$D$3:$E$9,2,0)="Si",NOT(ISNUMBER(VLOOKUP(DATE($A$4,$A$5+$A$3-1,GT8),Feriados,1,0)))),TRUE,FALSE),FALSE)</f>
        <v>0</v>
      </c>
      <c r="GU7" s="17" t="b">
        <f>IFERROR(IF(AND(VLOOKUP(GU9,'Feriados y días laborables'!$D$3:$E$9,2,0)="Si",NOT(ISNUMBER(VLOOKUP(DATE($A$4,$A$5+$A$3-1,GU8),Feriados,1,0)))),TRUE,FALSE),FALSE)</f>
        <v>0</v>
      </c>
      <c r="GV7" s="17" t="b">
        <f>IFERROR(IF(AND(VLOOKUP(GV9,'Feriados y días laborables'!$D$3:$E$9,2,0)="Si",NOT(ISNUMBER(VLOOKUP(DATE($A$4,$A$5+$A$3-1,GV8),Feriados,1,0)))),TRUE,FALSE),FALSE)</f>
        <v>0</v>
      </c>
      <c r="GW7" s="17" t="b">
        <f>IFERROR(IF(AND(VLOOKUP(GW9,'Feriados y días laborables'!$D$3:$E$9,2,0)="Si",NOT(ISNUMBER(VLOOKUP(DATE($A$4,$A$5+$A$3-1,GW8),Feriados,1,0)))),TRUE,FALSE),FALSE)</f>
        <v>0</v>
      </c>
      <c r="GX7" s="17" t="b">
        <f>IFERROR(IF(AND(VLOOKUP(GX9,'Feriados y días laborables'!$D$3:$E$9,2,0)="Si",NOT(ISNUMBER(VLOOKUP(DATE($A$4,$A$5+$A$3-1,GX8),Feriados,1,0)))),TRUE,FALSE),FALSE)</f>
        <v>0</v>
      </c>
      <c r="GY7" s="17" t="b">
        <f>IFERROR(IF(AND(VLOOKUP(GY9,'Feriados y días laborables'!$D$3:$E$9,2,0)="Si",NOT(ISNUMBER(VLOOKUP(DATE($A$4,$A$5+$A$3-1,GY8),Feriados,1,0)))),TRUE,FALSE),FALSE)</f>
        <v>0</v>
      </c>
      <c r="GZ7" s="17" t="b">
        <f>IFERROR(IF(AND(VLOOKUP(GZ9,'Feriados y días laborables'!$D$3:$E$9,2,0)="Si",NOT(ISNUMBER(VLOOKUP(DATE($A$4,$A$5+$A$3-1,GZ8),Feriados,1,0)))),TRUE,FALSE),FALSE)</f>
        <v>0</v>
      </c>
      <c r="HA7" s="17" t="b">
        <f>IFERROR(IF(AND(VLOOKUP(HA9,'Feriados y días laborables'!$D$3:$E$9,2,0)="Si",NOT(ISNUMBER(VLOOKUP(DATE($A$4,$A$5+$A$3-1,HA8),Feriados,1,0)))),TRUE,FALSE),FALSE)</f>
        <v>0</v>
      </c>
      <c r="HB7" s="17" t="b">
        <f>IFERROR(IF(AND(VLOOKUP(HB9,'Feriados y días laborables'!$D$3:$E$9,2,0)="Si",NOT(ISNUMBER(VLOOKUP(DATE($A$4,$A$5+$A$3-1,HB8),Feriados,1,0)))),TRUE,FALSE),FALSE)</f>
        <v>0</v>
      </c>
      <c r="HC7" s="17" t="b">
        <f>IFERROR(IF(AND(VLOOKUP(HC9,'Feriados y días laborables'!$D$3:$E$9,2,0)="Si",NOT(ISNUMBER(VLOOKUP(DATE($A$4,$A$5+$A$3-1,HC8),Feriados,1,0)))),TRUE,FALSE),FALSE)</f>
        <v>0</v>
      </c>
      <c r="HD7" s="17" t="b">
        <f>IFERROR(IF(AND(VLOOKUP(HD9,'Feriados y días laborables'!$D$3:$E$9,2,0)="Si",NOT(ISNUMBER(VLOOKUP(DATE($A$4,$A$5+$A$3-1,HD8),Feriados,1,0)))),TRUE,FALSE),FALSE)</f>
        <v>0</v>
      </c>
      <c r="HE7" s="17" t="b">
        <f>IFERROR(IF(AND(VLOOKUP(HE9,'Feriados y días laborables'!$D$3:$E$9,2,0)="Si",NOT(ISNUMBER(VLOOKUP(DATE($A$4,$A$5+$A$3-1,HE8),Feriados,1,0)))),TRUE,FALSE),FALSE)</f>
        <v>0</v>
      </c>
      <c r="HF7" s="17" t="b">
        <f>IFERROR(IF(AND(VLOOKUP(HF9,'Feriados y días laborables'!$D$3:$E$9,2,0)="Si",NOT(ISNUMBER(VLOOKUP(DATE($A$4,$A$5+$A$3-1,HF8),Feriados,1,0)))),TRUE,FALSE),FALSE)</f>
        <v>0</v>
      </c>
      <c r="HG7" s="17" t="b">
        <f>IFERROR(IF(AND(VLOOKUP(HG9,'Feriados y días laborables'!$D$3:$E$9,2,0)="Si",NOT(ISNUMBER(VLOOKUP(DATE($A$4,$A$5+$A$3-1,HG8),Feriados,1,0)))),TRUE,FALSE),FALSE)</f>
        <v>0</v>
      </c>
      <c r="HH7" s="17" t="b">
        <f>IFERROR(IF(AND(VLOOKUP(HH9,'Feriados y días laborables'!$D$3:$E$9,2,0)="Si",NOT(ISNUMBER(VLOOKUP(DATE($A$4,$A$5+$A$3-1,HH8),Feriados,1,0)))),TRUE,FALSE),FALSE)</f>
        <v>0</v>
      </c>
      <c r="HI7" s="17" t="b">
        <f>IFERROR(IF(AND(VLOOKUP(HI9,'Feriados y días laborables'!$D$3:$E$9,2,0)="Si",NOT(ISNUMBER(VLOOKUP(DATE($A$4,$A$5+$A$3-1,HI8),Feriados,1,0)))),TRUE,FALSE),FALSE)</f>
        <v>0</v>
      </c>
      <c r="HJ7" s="17" t="b">
        <f>IFERROR(IF(AND(VLOOKUP(HJ9,'Feriados y días laborables'!$D$3:$E$9,2,0)="Si",NOT(ISNUMBER(VLOOKUP(DATE($A$4,$A$5+$A$3-1,HJ8),Feriados,1,0)))),TRUE,FALSE),FALSE)</f>
        <v>0</v>
      </c>
      <c r="HK7" s="17" t="b">
        <f>IFERROR(IF(AND(VLOOKUP(HK9,'Feriados y días laborables'!$D$3:$E$9,2,0)="Si",NOT(ISNUMBER(VLOOKUP(DATE($A$4,$A$5+$A$3-1,HK8),Feriados,1,0)))),TRUE,FALSE),FALSE)</f>
        <v>0</v>
      </c>
      <c r="HL7" s="17" t="b">
        <f>IFERROR(IF(AND(VLOOKUP(HL9,'Feriados y días laborables'!$D$3:$E$9,2,0)="Si",NOT(ISNUMBER(VLOOKUP(DATE($A$4,$A$5+$A$3-1,HL8),Feriados,1,0)))),TRUE,FALSE),FALSE)</f>
        <v>0</v>
      </c>
      <c r="HM7" s="17" t="b">
        <f>IFERROR(IF(AND(VLOOKUP(HM9,'Feriados y días laborables'!$D$3:$E$9,2,0)="Si",NOT(ISNUMBER(VLOOKUP(DATE($A$4,$A$5+$A$3-1,HM8),Feriados,1,0)))),TRUE,FALSE),FALSE)</f>
        <v>0</v>
      </c>
      <c r="HN7" s="17" t="b">
        <f>IFERROR(IF(AND(VLOOKUP(HN9,'Feriados y días laborables'!$D$3:$E$9,2,0)="Si",NOT(ISNUMBER(VLOOKUP(DATE($A$4,$A$5+$A$3-1,HN8),Feriados,1,0)))),TRUE,FALSE),FALSE)</f>
        <v>0</v>
      </c>
      <c r="HO7" s="17" t="b">
        <f>IFERROR(IF(AND(VLOOKUP(HO9,'Feriados y días laborables'!$D$3:$E$9,2,0)="Si",NOT(ISNUMBER(VLOOKUP(DATE($A$4,$A$5+$A$3-1,HO8),Feriados,1,0)))),TRUE,FALSE),FALSE)</f>
        <v>0</v>
      </c>
      <c r="HP7" s="17" t="b">
        <f>IFERROR(IF(AND(VLOOKUP(HP9,'Feriados y días laborables'!$D$3:$E$9,2,0)="Si",NOT(ISNUMBER(VLOOKUP(DATE($A$4,$A$5+$A$3-1,HP8),Feriados,1,0)))),TRUE,FALSE),FALSE)</f>
        <v>0</v>
      </c>
      <c r="HQ7" s="17" t="b">
        <f>IFERROR(IF(AND(VLOOKUP(HQ9,'Feriados y días laborables'!$D$3:$E$9,2,0)="Si",NOT(ISNUMBER(VLOOKUP(DATE($A$4,$A$5+$A$3-1,HQ8),Feriados,1,0)))),TRUE,FALSE),FALSE)</f>
        <v>0</v>
      </c>
      <c r="HR7" s="17" t="b">
        <f>IFERROR(IF(AND(VLOOKUP(HR9,'Feriados y días laborables'!$D$3:$E$9,2,0)="Si",NOT(ISNUMBER(VLOOKUP(DATE($A$4,$A$5+$A$3-1,HR8),Feriados,1,0)))),TRUE,FALSE),FALSE)</f>
        <v>0</v>
      </c>
      <c r="HS7" s="17" t="b">
        <f>IFERROR(IF(AND(VLOOKUP(HS9,'Feriados y días laborables'!$D$3:$E$9,2,0)="Si",NOT(ISNUMBER(VLOOKUP(DATE($A$4,$A$5+$A$3-1,HS8),Feriados,1,0)))),TRUE,FALSE),FALSE)</f>
        <v>0</v>
      </c>
      <c r="HT7" s="17" t="b">
        <f>IFERROR(IF(AND(VLOOKUP(HT9,'Feriados y días laborables'!$D$3:$E$9,2,0)="Si",NOT(ISNUMBER(VLOOKUP(DATE($A$4,$A$5+$A$3-1,HT8),Feriados,1,0)))),TRUE,FALSE),FALSE)</f>
        <v>0</v>
      </c>
      <c r="HU7" s="17" t="b">
        <f>IFERROR(IF(AND(VLOOKUP(HU9,'Feriados y días laborables'!$D$3:$E$9,2,0)="Si",NOT(ISNUMBER(VLOOKUP(DATE($A$4,$A$5+$A$3-1,HU8),Feriados,1,0)))),TRUE,FALSE),FALSE)</f>
        <v>0</v>
      </c>
      <c r="HV7" s="17" t="b">
        <f>IFERROR(IF(AND(VLOOKUP(HV9,'Feriados y días laborables'!$D$3:$E$9,2,0)="Si",NOT(ISNUMBER(VLOOKUP(DATE($A$4,$A$5+$A$3-1,HV8),Feriados,1,0)))),TRUE,FALSE),FALSE)</f>
        <v>0</v>
      </c>
      <c r="HW7" s="17" t="b">
        <f>IFERROR(IF(AND(VLOOKUP(HW9,'Feriados y días laborables'!$D$3:$E$9,2,0)="Si",NOT(ISNUMBER(VLOOKUP(DATE($A$4,$A$5+$A$3-1,HW8),Feriados,1,0)))),TRUE,FALSE),FALSE)</f>
        <v>0</v>
      </c>
      <c r="HX7" s="17" t="b">
        <f>IFERROR(IF(AND(VLOOKUP(HX9,'Feriados y días laborables'!$D$3:$E$9,2,0)="Si",NOT(ISNUMBER(VLOOKUP(DATE($A$4,$A$5+$A$3-1,HX8),Feriados,1,0)))),TRUE,FALSE),FALSE)</f>
        <v>0</v>
      </c>
      <c r="HY7" s="17" t="b">
        <f>IFERROR(IF(AND(VLOOKUP(HY9,'Feriados y días laborables'!$D$3:$E$9,2,0)="Si",NOT(ISNUMBER(VLOOKUP(DATE($A$4,$A$5+$A$3-1,HY8),Feriados,1,0)))),TRUE,FALSE),FALSE)</f>
        <v>0</v>
      </c>
      <c r="HZ7" s="17" t="b">
        <f>IFERROR(IF(AND(VLOOKUP(HZ9,'Feriados y días laborables'!$D$3:$E$9,2,0)="Si",NOT(ISNUMBER(VLOOKUP(DATE($A$4,$A$5+$A$3-1,HZ8),Feriados,1,0)))),TRUE,FALSE),FALSE)</f>
        <v>0</v>
      </c>
      <c r="IA7" s="17" t="b">
        <f>IFERROR(IF(AND(VLOOKUP(IA9,'Feriados y días laborables'!$D$3:$E$9,2,0)="Si",NOT(ISNUMBER(VLOOKUP(DATE($A$4,$A$5+$A$3-1,IA8),Feriados,1,0)))),TRUE,FALSE),FALSE)</f>
        <v>0</v>
      </c>
      <c r="IB7" s="17" t="b">
        <f>IFERROR(IF(AND(VLOOKUP(IB9,'Feriados y días laborables'!$D$3:$E$9,2,0)="Si",NOT(ISNUMBER(VLOOKUP(DATE($A$4,$A$5+$A$3-1,IB8),Feriados,1,0)))),TRUE,FALSE),FALSE)</f>
        <v>0</v>
      </c>
      <c r="IC7" s="17" t="b">
        <f>IFERROR(IF(AND(VLOOKUP(IC9,'Feriados y días laborables'!$D$3:$E$9,2,0)="Si",NOT(ISNUMBER(VLOOKUP(DATE($A$4,$A$5+$A$3-1,IC8),Feriados,1,0)))),TRUE,FALSE),FALSE)</f>
        <v>0</v>
      </c>
      <c r="ID7" s="17" t="b">
        <f>IFERROR(IF(AND(VLOOKUP(ID9,'Feriados y días laborables'!$D$3:$E$9,2,0)="Si",NOT(ISNUMBER(VLOOKUP(DATE($A$4,$A$5+$A$3-1,ID8),Feriados,1,0)))),TRUE,FALSE),FALSE)</f>
        <v>0</v>
      </c>
      <c r="IE7" s="17" t="b">
        <f>IFERROR(IF(AND(VLOOKUP(IE9,'Feriados y días laborables'!$D$3:$E$9,2,0)="Si",NOT(ISNUMBER(VLOOKUP(DATE($A$4,$A$5+$A$3-1,IE8),Feriados,1,0)))),TRUE,FALSE),FALSE)</f>
        <v>0</v>
      </c>
      <c r="IF7" s="17" t="b">
        <f>IFERROR(IF(AND(VLOOKUP(IF9,'Feriados y días laborables'!$D$3:$E$9,2,0)="Si",NOT(ISNUMBER(VLOOKUP(DATE($A$4,$A$5+$A$3-1,IF8),Feriados,1,0)))),TRUE,FALSE),FALSE)</f>
        <v>0</v>
      </c>
      <c r="IG7" s="17" t="b">
        <f>IFERROR(IF(AND(VLOOKUP(IG9,'Feriados y días laborables'!$D$3:$E$9,2,0)="Si",NOT(ISNUMBER(VLOOKUP(DATE($A$4,$A$5+$A$3-1,IG8),Feriados,1,0)))),TRUE,FALSE),FALSE)</f>
        <v>0</v>
      </c>
      <c r="IH7" s="17" t="b">
        <f>IFERROR(IF(AND(VLOOKUP(IH9,'Feriados y días laborables'!$D$3:$E$9,2,0)="Si",NOT(ISNUMBER(VLOOKUP(DATE($A$4,$A$5+$A$3-1,IH8),Feriados,1,0)))),TRUE,FALSE),FALSE)</f>
        <v>0</v>
      </c>
      <c r="II7" s="17" t="b">
        <f>IFERROR(IF(AND(VLOOKUP(II9,'Feriados y días laborables'!$D$3:$E$9,2,0)="Si",NOT(ISNUMBER(VLOOKUP(DATE($A$4,$A$5+$A$3-1,II8),Feriados,1,0)))),TRUE,FALSE),FALSE)</f>
        <v>0</v>
      </c>
      <c r="IJ7" s="17" t="b">
        <f>IFERROR(IF(AND(VLOOKUP(IJ9,'Feriados y días laborables'!$D$3:$E$9,2,0)="Si",NOT(ISNUMBER(VLOOKUP(DATE($A$4,$A$5+$A$3-1,IJ8),Feriados,1,0)))),TRUE,FALSE),FALSE)</f>
        <v>0</v>
      </c>
      <c r="IK7" s="17" t="b">
        <f>IFERROR(IF(AND(VLOOKUP(IK9,'Feriados y días laborables'!$D$3:$E$9,2,0)="Si",NOT(ISNUMBER(VLOOKUP(DATE($A$4,$A$5+$A$3-1,IK8),Feriados,1,0)))),TRUE,FALSE),FALSE)</f>
        <v>0</v>
      </c>
      <c r="IL7" s="17" t="b">
        <f>IFERROR(IF(AND(VLOOKUP(IL9,'Feriados y días laborables'!$D$3:$E$9,2,0)="Si",NOT(ISNUMBER(VLOOKUP(DATE($A$4,$A$5+$A$3-1,IL8),Feriados,1,0)))),TRUE,FALSE),FALSE)</f>
        <v>0</v>
      </c>
      <c r="IM7" s="17" t="b">
        <f>IFERROR(IF(AND(VLOOKUP(IM9,'Feriados y días laborables'!$D$3:$E$9,2,0)="Si",NOT(ISNUMBER(VLOOKUP(DATE($A$4,$A$5+$A$3-1,IM8),Feriados,1,0)))),TRUE,FALSE),FALSE)</f>
        <v>0</v>
      </c>
      <c r="IN7" s="17" t="b">
        <f>IFERROR(IF(AND(VLOOKUP(IN9,'Feriados y días laborables'!$D$3:$E$9,2,0)="Si",NOT(ISNUMBER(VLOOKUP(DATE($A$4,$A$5+$A$3-1,IN8),Feriados,1,0)))),TRUE,FALSE),FALSE)</f>
        <v>0</v>
      </c>
      <c r="IO7" s="17" t="b">
        <f>IFERROR(IF(AND(VLOOKUP(IO9,'Feriados y días laborables'!$D$3:$E$9,2,0)="Si",NOT(ISNUMBER(VLOOKUP(DATE($A$4,$A$5+$A$3-1,IO8),Feriados,1,0)))),TRUE,FALSE),FALSE)</f>
        <v>0</v>
      </c>
      <c r="IP7" s="17" t="b">
        <f>IFERROR(IF(AND(VLOOKUP(IP9,'Feriados y días laborables'!$D$3:$E$9,2,0)="Si",NOT(ISNUMBER(VLOOKUP(DATE($A$4,$A$5+$A$3-1,IP8),Feriados,1,0)))),TRUE,FALSE),FALSE)</f>
        <v>0</v>
      </c>
      <c r="IQ7" s="17" t="b">
        <f>IFERROR(IF(AND(VLOOKUP(IQ9,'Feriados y días laborables'!$D$3:$E$9,2,0)="Si",NOT(ISNUMBER(VLOOKUP(DATE($A$4,$A$5+$A$3-1,IQ8),Feriados,1,0)))),TRUE,FALSE),FALSE)</f>
        <v>0</v>
      </c>
      <c r="IR7" s="17" t="b">
        <f>IFERROR(IF(AND(VLOOKUP(IR9,'Feriados y días laborables'!$D$3:$E$9,2,0)="Si",NOT(ISNUMBER(VLOOKUP(DATE($A$4,$A$5+$A$3-1,IR8),Feriados,1,0)))),TRUE,FALSE),FALSE)</f>
        <v>0</v>
      </c>
      <c r="IS7" s="17" t="b">
        <f>IFERROR(IF(AND(VLOOKUP(IS9,'Feriados y días laborables'!$D$3:$E$9,2,0)="Si",NOT(ISNUMBER(VLOOKUP(DATE($A$4,$A$5+$A$3-1,IS8),Feriados,1,0)))),TRUE,FALSE),FALSE)</f>
        <v>0</v>
      </c>
      <c r="IT7" s="17" t="b">
        <f>IFERROR(IF(AND(VLOOKUP(IT9,'Feriados y días laborables'!$D$3:$E$9,2,0)="Si",NOT(ISNUMBER(VLOOKUP(DATE($A$4,$A$5+$A$3-1,IT8),Feriados,1,0)))),TRUE,FALSE),FALSE)</f>
        <v>0</v>
      </c>
      <c r="IU7" s="17" t="b">
        <f>IFERROR(IF(AND(VLOOKUP(IU9,'Feriados y días laborables'!$D$3:$E$9,2,0)="Si",NOT(ISNUMBER(VLOOKUP(DATE($A$4,$A$5+$A$3-1,IU8),Feriados,1,0)))),TRUE,FALSE),FALSE)</f>
        <v>0</v>
      </c>
      <c r="IV7" s="17" t="b">
        <f>IFERROR(IF(AND(VLOOKUP(IV9,'Feriados y días laborables'!$D$3:$E$9,2,0)="Si",NOT(ISNUMBER(VLOOKUP(DATE($A$4,$A$5+$A$3-1,IV8),Feriados,1,0)))),TRUE,FALSE),FALSE)</f>
        <v>0</v>
      </c>
      <c r="IW7" s="17" t="b">
        <f>IFERROR(IF(AND(VLOOKUP(IW9,'Feriados y días laborables'!$D$3:$E$9,2,0)="Si",NOT(ISNUMBER(VLOOKUP(DATE($A$4,$A$5+$A$3-1,IW8),Feriados,1,0)))),TRUE,FALSE),FALSE)</f>
        <v>0</v>
      </c>
      <c r="IX7" s="17" t="b">
        <f>IFERROR(IF(AND(VLOOKUP(IX9,'Feriados y días laborables'!$D$3:$E$9,2,0)="Si",NOT(ISNUMBER(VLOOKUP(DATE($A$4,$A$5+$A$3-1,IX8),Feriados,1,0)))),TRUE,FALSE),FALSE)</f>
        <v>0</v>
      </c>
      <c r="IY7" s="17" t="b">
        <f>IFERROR(IF(AND(VLOOKUP(IY9,'Feriados y días laborables'!$D$3:$E$9,2,0)="Si",NOT(ISNUMBER(VLOOKUP(DATE($A$4,$A$5+$A$3-1,IY8),Feriados,1,0)))),TRUE,FALSE),FALSE)</f>
        <v>0</v>
      </c>
      <c r="IZ7" s="17" t="b">
        <f>IFERROR(IF(AND(VLOOKUP(IZ9,'Feriados y días laborables'!$D$3:$E$9,2,0)="Si",NOT(ISNUMBER(VLOOKUP(DATE($A$4,$A$5+$A$3-1,IZ8),Feriados,1,0)))),TRUE,FALSE),FALSE)</f>
        <v>0</v>
      </c>
      <c r="JA7" s="17" t="b">
        <f>IFERROR(IF(AND(VLOOKUP(JA9,'Feriados y días laborables'!$D$3:$E$9,2,0)="Si",NOT(ISNUMBER(VLOOKUP(DATE($A$4,$A$5+$A$3-1,JA8),Feriados,1,0)))),TRUE,FALSE),FALSE)</f>
        <v>0</v>
      </c>
      <c r="JB7" s="17" t="b">
        <f>IFERROR(IF(AND(VLOOKUP(JB9,'Feriados y días laborables'!$D$3:$E$9,2,0)="Si",NOT(ISNUMBER(VLOOKUP(DATE($A$4,$A$5+$A$3-1,JB8),Feriados,1,0)))),TRUE,FALSE),FALSE)</f>
        <v>0</v>
      </c>
      <c r="JC7" s="17" t="b">
        <f>IFERROR(IF(AND(VLOOKUP(JC9,'Feriados y días laborables'!$D$3:$E$9,2,0)="Si",NOT(ISNUMBER(VLOOKUP(DATE($A$4,$A$5+$A$3-1,JC8),Feriados,1,0)))),TRUE,FALSE),FALSE)</f>
        <v>0</v>
      </c>
      <c r="JD7" s="17" t="b">
        <f>IFERROR(IF(AND(VLOOKUP(JD9,'Feriados y días laborables'!$D$3:$E$9,2,0)="Si",NOT(ISNUMBER(VLOOKUP(DATE($A$4,$A$5+$A$3-1,JD8),Feriados,1,0)))),TRUE,FALSE),FALSE)</f>
        <v>0</v>
      </c>
      <c r="JE7" s="17" t="b">
        <f>IFERROR(IF(AND(VLOOKUP(JE9,'Feriados y días laborables'!$D$3:$E$9,2,0)="Si",NOT(ISNUMBER(VLOOKUP(DATE($A$4,$A$5+$A$3-1,JE8),Feriados,1,0)))),TRUE,FALSE),FALSE)</f>
        <v>0</v>
      </c>
      <c r="JF7" s="17" t="b">
        <f>IFERROR(IF(AND(VLOOKUP(JF9,'Feriados y días laborables'!$D$3:$E$9,2,0)="Si",NOT(ISNUMBER(VLOOKUP(DATE($A$4,$A$5+$A$3-1,JF8),Feriados,1,0)))),TRUE,FALSE),FALSE)</f>
        <v>0</v>
      </c>
      <c r="JG7" s="17" t="b">
        <f>IFERROR(IF(AND(VLOOKUP(JG9,'Feriados y días laborables'!$D$3:$E$9,2,0)="Si",NOT(ISNUMBER(VLOOKUP(DATE($A$4,$A$5+$A$3-1,JG8),Feriados,1,0)))),TRUE,FALSE),FALSE)</f>
        <v>0</v>
      </c>
      <c r="JH7" s="17" t="b">
        <f>IFERROR(IF(AND(VLOOKUP(JH9,'Feriados y días laborables'!$D$3:$E$9,2,0)="Si",NOT(ISNUMBER(VLOOKUP(DATE($A$4,$A$5+$A$3-1,JH8),Feriados,1,0)))),TRUE,FALSE),FALSE)</f>
        <v>0</v>
      </c>
      <c r="JI7" s="17" t="b">
        <f>IFERROR(IF(AND(VLOOKUP(JI9,'Feriados y días laborables'!$D$3:$E$9,2,0)="Si",NOT(ISNUMBER(VLOOKUP(DATE($A$4,$A$5+$A$3-1,JI8),Feriados,1,0)))),TRUE,FALSE),FALSE)</f>
        <v>0</v>
      </c>
      <c r="JJ7" s="17" t="b">
        <f>IFERROR(IF(AND(VLOOKUP(JJ9,'Feriados y días laborables'!$D$3:$E$9,2,0)="Si",NOT(ISNUMBER(VLOOKUP(DATE($A$4,$A$5+$A$3-1,JJ8),Feriados,1,0)))),TRUE,FALSE),FALSE)</f>
        <v>0</v>
      </c>
      <c r="JK7" s="17" t="b">
        <f>IFERROR(IF(AND(VLOOKUP(JK9,'Feriados y días laborables'!$D$3:$E$9,2,0)="Si",NOT(ISNUMBER(VLOOKUP(DATE($A$4,$A$5+$A$3-1,JK8),Feriados,1,0)))),TRUE,FALSE),FALSE)</f>
        <v>0</v>
      </c>
      <c r="JL7" s="17" t="b">
        <f>IFERROR(IF(AND(VLOOKUP(JL9,'Feriados y días laborables'!$D$3:$E$9,2,0)="Si",NOT(ISNUMBER(VLOOKUP(DATE($A$4,$A$5+$A$3-1,JL8),Feriados,1,0)))),TRUE,FALSE),FALSE)</f>
        <v>0</v>
      </c>
      <c r="JM7" s="17" t="b">
        <f>IFERROR(IF(AND(VLOOKUP(JM9,'Feriados y días laborables'!$D$3:$E$9,2,0)="Si",NOT(ISNUMBER(VLOOKUP(DATE($A$4,$A$5+$A$3-1,JM8),Feriados,1,0)))),TRUE,FALSE),FALSE)</f>
        <v>0</v>
      </c>
      <c r="JN7" s="17" t="b">
        <f>IFERROR(IF(AND(VLOOKUP(JN9,'Feriados y días laborables'!$D$3:$E$9,2,0)="Si",NOT(ISNUMBER(VLOOKUP(DATE($A$4,$A$5+$A$3-1,JN8),Feriados,1,0)))),TRUE,FALSE),FALSE)</f>
        <v>0</v>
      </c>
      <c r="JO7" s="17" t="b">
        <f>IFERROR(IF(AND(VLOOKUP(JO9,'Feriados y días laborables'!$D$3:$E$9,2,0)="Si",NOT(ISNUMBER(VLOOKUP(DATE($A$4,$A$5+$A$3-1,JO8),Feriados,1,0)))),TRUE,FALSE),FALSE)</f>
        <v>0</v>
      </c>
      <c r="JP7" s="17" t="b">
        <f>IFERROR(IF(AND(VLOOKUP(JP9,'Feriados y días laborables'!$D$3:$E$9,2,0)="Si",NOT(ISNUMBER(VLOOKUP(DATE($A$4,$A$5+$A$3-1,JP8),Feriados,1,0)))),TRUE,FALSE),FALSE)</f>
        <v>0</v>
      </c>
      <c r="JQ7" s="17" t="b">
        <f>IFERROR(IF(AND(VLOOKUP(JQ9,'Feriados y días laborables'!$D$3:$E$9,2,0)="Si",NOT(ISNUMBER(VLOOKUP(DATE($A$4,$A$5+$A$3-1,JQ8),Feriados,1,0)))),TRUE,FALSE),FALSE)</f>
        <v>0</v>
      </c>
      <c r="JR7" s="17" t="b">
        <f>IFERROR(IF(AND(VLOOKUP(JR9,'Feriados y días laborables'!$D$3:$E$9,2,0)="Si",NOT(ISNUMBER(VLOOKUP(DATE($A$4,$A$5+$A$3-1,JR8),Feriados,1,0)))),TRUE,FALSE),FALSE)</f>
        <v>0</v>
      </c>
      <c r="JS7" s="17" t="b">
        <f>IFERROR(IF(AND(VLOOKUP(JS9,'Feriados y días laborables'!$D$3:$E$9,2,0)="Si",NOT(ISNUMBER(VLOOKUP(DATE($A$4,$A$5+$A$3-1,JS8),Feriados,1,0)))),TRUE,FALSE),FALSE)</f>
        <v>0</v>
      </c>
      <c r="JT7" s="17" t="b">
        <f>IFERROR(IF(AND(VLOOKUP(JT9,'Feriados y días laborables'!$D$3:$E$9,2,0)="Si",NOT(ISNUMBER(VLOOKUP(DATE($A$4,$A$5+$A$3-1,JT8),Feriados,1,0)))),TRUE,FALSE),FALSE)</f>
        <v>0</v>
      </c>
      <c r="JU7" s="17" t="b">
        <f>IFERROR(IF(AND(VLOOKUP(JU9,'Feriados y días laborables'!$D$3:$E$9,2,0)="Si",NOT(ISNUMBER(VLOOKUP(DATE($A$4,$A$5+$A$3-1,JU8),Feriados,1,0)))),TRUE,FALSE),FALSE)</f>
        <v>0</v>
      </c>
      <c r="JV7" s="17" t="b">
        <f>IFERROR(IF(AND(VLOOKUP(JV9,'Feriados y días laborables'!$D$3:$E$9,2,0)="Si",NOT(ISNUMBER(VLOOKUP(DATE($A$4,$A$5+$A$3-1,JV8),Feriados,1,0)))),TRUE,FALSE),FALSE)</f>
        <v>0</v>
      </c>
      <c r="JW7" s="17" t="b">
        <f>IFERROR(IF(AND(VLOOKUP(JW9,'Feriados y días laborables'!$D$3:$E$9,2,0)="Si",NOT(ISNUMBER(VLOOKUP(DATE($A$4,$A$5+$A$3-1,JW8),Feriados,1,0)))),TRUE,FALSE),FALSE)</f>
        <v>0</v>
      </c>
      <c r="JX7" s="17" t="b">
        <f>IFERROR(IF(AND(VLOOKUP(JX9,'Feriados y días laborables'!$D$3:$E$9,2,0)="Si",NOT(ISNUMBER(VLOOKUP(DATE($A$4,$A$5+$A$3-1,JX8),Feriados,1,0)))),TRUE,FALSE),FALSE)</f>
        <v>0</v>
      </c>
      <c r="JY7" s="17" t="b">
        <f>IFERROR(IF(AND(VLOOKUP(JY9,'Feriados y días laborables'!$D$3:$E$9,2,0)="Si",NOT(ISNUMBER(VLOOKUP(DATE($A$4,$A$5+$A$3-1,JY8),Feriados,1,0)))),TRUE,FALSE),FALSE)</f>
        <v>0</v>
      </c>
      <c r="JZ7" s="17" t="b">
        <f>IFERROR(IF(AND(VLOOKUP(JZ9,'Feriados y días laborables'!$D$3:$E$9,2,0)="Si",NOT(ISNUMBER(VLOOKUP(DATE($A$4,$A$5+$A$3-1,JZ8),Feriados,1,0)))),TRUE,FALSE),FALSE)</f>
        <v>0</v>
      </c>
      <c r="KA7" s="17" t="b">
        <f>IFERROR(IF(AND(VLOOKUP(KA9,'Feriados y días laborables'!$D$3:$E$9,2,0)="Si",NOT(ISNUMBER(VLOOKUP(DATE($A$4,$A$5+$A$3-1,KA8),Feriados,1,0)))),TRUE,FALSE),FALSE)</f>
        <v>0</v>
      </c>
      <c r="KB7" s="17" t="b">
        <f>IFERROR(IF(AND(VLOOKUP(KB9,'Feriados y días laborables'!$D$3:$E$9,2,0)="Si",NOT(ISNUMBER(VLOOKUP(DATE($A$4,$A$5+$A$3-1,KB8),Feriados,1,0)))),TRUE,FALSE),FALSE)</f>
        <v>0</v>
      </c>
      <c r="KC7" s="17" t="b">
        <f>IFERROR(IF(AND(VLOOKUP(KC9,'Feriados y días laborables'!$D$3:$E$9,2,0)="Si",NOT(ISNUMBER(VLOOKUP(DATE($A$4,$A$5+$A$3-1,KC8),Feriados,1,0)))),TRUE,FALSE),FALSE)</f>
        <v>0</v>
      </c>
      <c r="KD7" s="17" t="b">
        <f>IFERROR(IF(AND(VLOOKUP(KD9,'Feriados y días laborables'!$D$3:$E$9,2,0)="Si",NOT(ISNUMBER(VLOOKUP(DATE($A$4,$A$5+$A$3-1,KD8),Feriados,1,0)))),TRUE,FALSE),FALSE)</f>
        <v>0</v>
      </c>
      <c r="KE7" s="17" t="b">
        <f>IFERROR(IF(AND(VLOOKUP(KE9,'Feriados y días laborables'!$D$3:$E$9,2,0)="Si",NOT(ISNUMBER(VLOOKUP(DATE($A$4,$A$5+$A$3-1,KE8),Feriados,1,0)))),TRUE,FALSE),FALSE)</f>
        <v>0</v>
      </c>
      <c r="KF7" s="17" t="b">
        <f>IFERROR(IF(AND(VLOOKUP(KF9,'Feriados y días laborables'!$D$3:$E$9,2,0)="Si",NOT(ISNUMBER(VLOOKUP(DATE($A$4,$A$5+$A$3-1,KF8),Feriados,1,0)))),TRUE,FALSE),FALSE)</f>
        <v>0</v>
      </c>
      <c r="KG7" s="17" t="b">
        <f>IFERROR(IF(AND(VLOOKUP(KG9,'Feriados y días laborables'!$D$3:$E$9,2,0)="Si",NOT(ISNUMBER(VLOOKUP(DATE($A$4,$A$5+$A$3-1,KG8),Feriados,1,0)))),TRUE,FALSE),FALSE)</f>
        <v>0</v>
      </c>
      <c r="KH7" s="17" t="b">
        <f>IFERROR(IF(AND(VLOOKUP(KH9,'Feriados y días laborables'!$D$3:$E$9,2,0)="Si",NOT(ISNUMBER(VLOOKUP(DATE($A$4,$A$5+$A$3-1,KH8),Feriados,1,0)))),TRUE,FALSE),FALSE)</f>
        <v>0</v>
      </c>
      <c r="KI7" s="17" t="b">
        <f>IFERROR(IF(AND(VLOOKUP(KI9,'Feriados y días laborables'!$D$3:$E$9,2,0)="Si",NOT(ISNUMBER(VLOOKUP(DATE($A$4,$A$5+$A$3-1,KI8),Feriados,1,0)))),TRUE,FALSE),FALSE)</f>
        <v>0</v>
      </c>
      <c r="KJ7" s="17" t="b">
        <f>IFERROR(IF(AND(VLOOKUP(KJ9,'Feriados y días laborables'!$D$3:$E$9,2,0)="Si",NOT(ISNUMBER(VLOOKUP(DATE($A$4,$A$5+$A$3-1,KJ8),Feriados,1,0)))),TRUE,FALSE),FALSE)</f>
        <v>0</v>
      </c>
      <c r="KK7" s="17" t="b">
        <f>IFERROR(IF(AND(VLOOKUP(KK9,'Feriados y días laborables'!$D$3:$E$9,2,0)="Si",NOT(ISNUMBER(VLOOKUP(DATE($A$4,$A$5+$A$3-1,KK8),Feriados,1,0)))),TRUE,FALSE),FALSE)</f>
        <v>0</v>
      </c>
      <c r="KL7" s="17" t="b">
        <f>IFERROR(IF(AND(VLOOKUP(KL9,'Feriados y días laborables'!$D$3:$E$9,2,0)="Si",NOT(ISNUMBER(VLOOKUP(DATE($A$4,$A$5+$A$3-1,KL8),Feriados,1,0)))),TRUE,FALSE),FALSE)</f>
        <v>0</v>
      </c>
      <c r="KM7" s="17" t="b">
        <f>IFERROR(IF(AND(VLOOKUP(KM9,'Feriados y días laborables'!$D$3:$E$9,2,0)="Si",NOT(ISNUMBER(VLOOKUP(DATE($A$4,$A$5+$A$3-1,KM8),Feriados,1,0)))),TRUE,FALSE),FALSE)</f>
        <v>0</v>
      </c>
      <c r="KN7" s="17" t="b">
        <f>IFERROR(IF(AND(VLOOKUP(KN9,'Feriados y días laborables'!$D$3:$E$9,2,0)="Si",NOT(ISNUMBER(VLOOKUP(DATE($A$4,$A$5+$A$3-1,KN8),Feriados,1,0)))),TRUE,FALSE),FALSE)</f>
        <v>0</v>
      </c>
      <c r="KO7" s="17" t="b">
        <f>IFERROR(IF(AND(VLOOKUP(KO9,'Feriados y días laborables'!$D$3:$E$9,2,0)="Si",NOT(ISNUMBER(VLOOKUP(DATE($A$4,$A$5+$A$3-1,KO8),Feriados,1,0)))),TRUE,FALSE),FALSE)</f>
        <v>0</v>
      </c>
      <c r="KP7" s="17" t="b">
        <f>IFERROR(IF(AND(VLOOKUP(KP9,'Feriados y días laborables'!$D$3:$E$9,2,0)="Si",NOT(ISNUMBER(VLOOKUP(DATE($A$4,$A$5+$A$3-1,KP8),Feriados,1,0)))),TRUE,FALSE),FALSE)</f>
        <v>0</v>
      </c>
      <c r="KQ7" s="17" t="b">
        <f>IFERROR(IF(AND(VLOOKUP(KQ9,'Feriados y días laborables'!$D$3:$E$9,2,0)="Si",NOT(ISNUMBER(VLOOKUP(DATE($A$4,$A$5+$A$3-1,KQ8),Feriados,1,0)))),TRUE,FALSE),FALSE)</f>
        <v>0</v>
      </c>
      <c r="KR7" s="17" t="b">
        <f>IFERROR(IF(AND(VLOOKUP(KR9,'Feriados y días laborables'!$D$3:$E$9,2,0)="Si",NOT(ISNUMBER(VLOOKUP(DATE($A$4,$A$5+$A$3-1,KR8),Feriados,1,0)))),TRUE,FALSE),FALSE)</f>
        <v>0</v>
      </c>
      <c r="KS7" s="17" t="b">
        <f>IFERROR(IF(AND(VLOOKUP(KS9,'Feriados y días laborables'!$D$3:$E$9,2,0)="Si",NOT(ISNUMBER(VLOOKUP(DATE($A$4,$A$5+$A$3-1,KS8),Feriados,1,0)))),TRUE,FALSE),FALSE)</f>
        <v>0</v>
      </c>
      <c r="KT7" s="17" t="b">
        <f>IFERROR(IF(AND(VLOOKUP(KT9,'Feriados y días laborables'!$D$3:$E$9,2,0)="Si",NOT(ISNUMBER(VLOOKUP(DATE($A$4,$A$5+$A$3-1,KT8),Feriados,1,0)))),TRUE,FALSE),FALSE)</f>
        <v>0</v>
      </c>
      <c r="KU7" s="17" t="b">
        <f>IFERROR(IF(AND(VLOOKUP(KU9,'Feriados y días laborables'!$D$3:$E$9,2,0)="Si",NOT(ISNUMBER(VLOOKUP(DATE($A$4,$A$5+$A$3-1,KU8),Feriados,1,0)))),TRUE,FALSE),FALSE)</f>
        <v>0</v>
      </c>
      <c r="KV7" s="17" t="b">
        <f>IFERROR(IF(AND(VLOOKUP(KV9,'Feriados y días laborables'!$D$3:$E$9,2,0)="Si",NOT(ISNUMBER(VLOOKUP(DATE($A$4,$A$5+$A$3-1,KV8),Feriados,1,0)))),TRUE,FALSE),FALSE)</f>
        <v>0</v>
      </c>
      <c r="KW7" s="17" t="b">
        <f>IFERROR(IF(AND(VLOOKUP(KW9,'Feriados y días laborables'!$D$3:$E$9,2,0)="Si",NOT(ISNUMBER(VLOOKUP(DATE($A$4,$A$5+$A$3-1,KW8),Feriados,1,0)))),TRUE,FALSE),FALSE)</f>
        <v>0</v>
      </c>
      <c r="KX7" s="17" t="b">
        <f>IFERROR(IF(AND(VLOOKUP(KX9,'Feriados y días laborables'!$D$3:$E$9,2,0)="Si",NOT(ISNUMBER(VLOOKUP(DATE($A$4,$A$5+$A$3-1,KX8),Feriados,1,0)))),TRUE,FALSE),FALSE)</f>
        <v>0</v>
      </c>
      <c r="KY7" s="17" t="b">
        <f>IFERROR(IF(AND(VLOOKUP(KY9,'Feriados y días laborables'!$D$3:$E$9,2,0)="Si",NOT(ISNUMBER(VLOOKUP(DATE($A$4,$A$5+$A$3-1,KY8),Feriados,1,0)))),TRUE,FALSE),FALSE)</f>
        <v>0</v>
      </c>
      <c r="KZ7" s="17" t="b">
        <f>IFERROR(IF(AND(VLOOKUP(KZ9,'Feriados y días laborables'!$D$3:$E$9,2,0)="Si",NOT(ISNUMBER(VLOOKUP(DATE($A$4,$A$5+$A$3-1,KZ8),Feriados,1,0)))),TRUE,FALSE),FALSE)</f>
        <v>0</v>
      </c>
      <c r="LA7" s="17" t="b">
        <f>IFERROR(IF(AND(VLOOKUP(LA9,'Feriados y días laborables'!$D$3:$E$9,2,0)="Si",NOT(ISNUMBER(VLOOKUP(DATE($A$4,$A$5+$A$3-1,LA8),Feriados,1,0)))),TRUE,FALSE),FALSE)</f>
        <v>0</v>
      </c>
      <c r="LB7" s="17" t="b">
        <f>IFERROR(IF(AND(VLOOKUP(LB9,'Feriados y días laborables'!$D$3:$E$9,2,0)="Si",NOT(ISNUMBER(VLOOKUP(DATE($A$4,$A$5+$A$3-1,LB8),Feriados,1,0)))),TRUE,FALSE),FALSE)</f>
        <v>0</v>
      </c>
      <c r="LC7" s="17" t="b">
        <f>IFERROR(IF(AND(VLOOKUP(LC9,'Feriados y días laborables'!$D$3:$E$9,2,0)="Si",NOT(ISNUMBER(VLOOKUP(DATE($A$4,$A$5+$A$3-1,LC8),Feriados,1,0)))),TRUE,FALSE),FALSE)</f>
        <v>0</v>
      </c>
      <c r="LD7" s="17" t="b">
        <f>IFERROR(IF(AND(VLOOKUP(LD9,'Feriados y días laborables'!$D$3:$E$9,2,0)="Si",NOT(ISNUMBER(VLOOKUP(DATE($A$4,$A$5+$A$3-1,LD8),Feriados,1,0)))),TRUE,FALSE),FALSE)</f>
        <v>0</v>
      </c>
      <c r="LE7" s="17" t="b">
        <f>IFERROR(IF(AND(VLOOKUP(LE9,'Feriados y días laborables'!$D$3:$E$9,2,0)="Si",NOT(ISNUMBER(VLOOKUP(DATE($A$4,$A$5+$A$3-1,LE8),Feriados,1,0)))),TRUE,FALSE),FALSE)</f>
        <v>0</v>
      </c>
      <c r="LF7" s="17" t="b">
        <f>IFERROR(IF(AND(VLOOKUP(LF9,'Feriados y días laborables'!$D$3:$E$9,2,0)="Si",NOT(ISNUMBER(VLOOKUP(DATE($A$4,$A$5+$A$3-1,LF8),Feriados,1,0)))),TRUE,FALSE),FALSE)</f>
        <v>0</v>
      </c>
      <c r="LG7" s="17" t="b">
        <f>IFERROR(IF(AND(VLOOKUP(LG9,'Feriados y días laborables'!$D$3:$E$9,2,0)="Si",NOT(ISNUMBER(VLOOKUP(DATE($A$4,$A$5+$A$3-1,LG8),Feriados,1,0)))),TRUE,FALSE),FALSE)</f>
        <v>0</v>
      </c>
      <c r="LH7" s="17" t="b">
        <f>IFERROR(IF(AND(VLOOKUP(LH9,'Feriados y días laborables'!$D$3:$E$9,2,0)="Si",NOT(ISNUMBER(VLOOKUP(DATE($A$4,$A$5+$A$3-1,LH8),Feriados,1,0)))),TRUE,FALSE),FALSE)</f>
        <v>0</v>
      </c>
      <c r="LI7" s="17" t="b">
        <f>IFERROR(IF(AND(VLOOKUP(LI9,'Feriados y días laborables'!$D$3:$E$9,2,0)="Si",NOT(ISNUMBER(VLOOKUP(DATE($A$4,$A$5+$A$3-1,LI8),Feriados,1,0)))),TRUE,FALSE),FALSE)</f>
        <v>0</v>
      </c>
      <c r="LJ7" s="17" t="b">
        <f>IFERROR(IF(AND(VLOOKUP(LJ9,'Feriados y días laborables'!$D$3:$E$9,2,0)="Si",NOT(ISNUMBER(VLOOKUP(DATE($A$4,$A$5+$A$3-1,LJ8),Feriados,1,0)))),TRUE,FALSE),FALSE)</f>
        <v>0</v>
      </c>
      <c r="LK7" s="17" t="b">
        <f>IFERROR(IF(AND(VLOOKUP(LK9,'Feriados y días laborables'!$D$3:$E$9,2,0)="Si",NOT(ISNUMBER(VLOOKUP(DATE($A$4,$A$5+$A$3-1,LK8),Feriados,1,0)))),TRUE,FALSE),FALSE)</f>
        <v>0</v>
      </c>
      <c r="LL7" s="17" t="b">
        <f>IFERROR(IF(AND(VLOOKUP(LL9,'Feriados y días laborables'!$D$3:$E$9,2,0)="Si",NOT(ISNUMBER(VLOOKUP(DATE($A$4,$A$5+$A$3-1,LL8),Feriados,1,0)))),TRUE,FALSE),FALSE)</f>
        <v>0</v>
      </c>
      <c r="LM7" s="17" t="b">
        <f>IFERROR(IF(AND(VLOOKUP(LM9,'Feriados y días laborables'!$D$3:$E$9,2,0)="Si",NOT(ISNUMBER(VLOOKUP(DATE($A$4,$A$5+$A$3-1,LM8),Feriados,1,0)))),TRUE,FALSE),FALSE)</f>
        <v>0</v>
      </c>
      <c r="LN7" s="17" t="b">
        <f>IFERROR(IF(AND(VLOOKUP(LN9,'Feriados y días laborables'!$D$3:$E$9,2,0)="Si",NOT(ISNUMBER(VLOOKUP(DATE($A$4,$A$5+$A$3-1,LN8),Feriados,1,0)))),TRUE,FALSE),FALSE)</f>
        <v>0</v>
      </c>
      <c r="LO7" s="17" t="b">
        <f>IFERROR(IF(AND(VLOOKUP(LO9,'Feriados y días laborables'!$D$3:$E$9,2,0)="Si",NOT(ISNUMBER(VLOOKUP(DATE($A$4,$A$5+$A$3-1,LO8),Feriados,1,0)))),TRUE,FALSE),FALSE)</f>
        <v>0</v>
      </c>
      <c r="LP7" s="17" t="b">
        <f>IFERROR(IF(AND(VLOOKUP(LP9,'Feriados y días laborables'!$D$3:$E$9,2,0)="Si",NOT(ISNUMBER(VLOOKUP(DATE($A$4,$A$5+$A$3-1,LP8),Feriados,1,0)))),TRUE,FALSE),FALSE)</f>
        <v>0</v>
      </c>
      <c r="LQ7" s="17" t="b">
        <f>IFERROR(IF(AND(VLOOKUP(LQ9,'Feriados y días laborables'!$D$3:$E$9,2,0)="Si",NOT(ISNUMBER(VLOOKUP(DATE($A$4,$A$5+$A$3-1,LQ8),Feriados,1,0)))),TRUE,FALSE),FALSE)</f>
        <v>0</v>
      </c>
      <c r="LR7" s="17" t="b">
        <f>IFERROR(IF(AND(VLOOKUP(LR9,'Feriados y días laborables'!$D$3:$E$9,2,0)="Si",NOT(ISNUMBER(VLOOKUP(DATE($A$4,$A$5+$A$3-1,LR8),Feriados,1,0)))),TRUE,FALSE),FALSE)</f>
        <v>0</v>
      </c>
      <c r="LS7" s="17" t="b">
        <f>IFERROR(IF(AND(VLOOKUP(LS9,'Feriados y días laborables'!$D$3:$E$9,2,0)="Si",NOT(ISNUMBER(VLOOKUP(DATE($A$4,$A$5+$A$3-1,LS8),Feriados,1,0)))),TRUE,FALSE),FALSE)</f>
        <v>0</v>
      </c>
      <c r="LT7" s="17" t="b">
        <f>IFERROR(IF(AND(VLOOKUP(LT9,'Feriados y días laborables'!$D$3:$E$9,2,0)="Si",NOT(ISNUMBER(VLOOKUP(DATE($A$4,$A$5+$A$3-1,LT8),Feriados,1,0)))),TRUE,FALSE),FALSE)</f>
        <v>0</v>
      </c>
      <c r="LU7" s="17" t="b">
        <f>IFERROR(IF(AND(VLOOKUP(LU9,'Feriados y días laborables'!$D$3:$E$9,2,0)="Si",NOT(ISNUMBER(VLOOKUP(DATE($A$4,$A$5+$A$3-1,LU8),Feriados,1,0)))),TRUE,FALSE),FALSE)</f>
        <v>0</v>
      </c>
      <c r="LV7" s="17" t="b">
        <f>IFERROR(IF(AND(VLOOKUP(LV9,'Feriados y días laborables'!$D$3:$E$9,2,0)="Si",NOT(ISNUMBER(VLOOKUP(DATE($A$4,$A$5+$A$3-1,LV8),Feriados,1,0)))),TRUE,FALSE),FALSE)</f>
        <v>0</v>
      </c>
      <c r="LW7" s="17" t="b">
        <f>IFERROR(IF(AND(VLOOKUP(LW9,'Feriados y días laborables'!$D$3:$E$9,2,0)="Si",NOT(ISNUMBER(VLOOKUP(DATE($A$4,$A$5+$A$3-1,LW8),Feriados,1,0)))),TRUE,FALSE),FALSE)</f>
        <v>0</v>
      </c>
      <c r="LX7" s="17" t="b">
        <f>IFERROR(IF(AND(VLOOKUP(LX9,'Feriados y días laborables'!$D$3:$E$9,2,0)="Si",NOT(ISNUMBER(VLOOKUP(DATE($A$4,$A$5+$A$3-1,LX8),Feriados,1,0)))),TRUE,FALSE),FALSE)</f>
        <v>0</v>
      </c>
      <c r="LY7" s="17" t="b">
        <f>IFERROR(IF(AND(VLOOKUP(LY9,'Feriados y días laborables'!$D$3:$E$9,2,0)="Si",NOT(ISNUMBER(VLOOKUP(DATE($A$4,$A$5+$A$3-1,LY8),Feriados,1,0)))),TRUE,FALSE),FALSE)</f>
        <v>0</v>
      </c>
      <c r="LZ7" s="17" t="b">
        <f>IFERROR(IF(AND(VLOOKUP(LZ9,'Feriados y días laborables'!$D$3:$E$9,2,0)="Si",NOT(ISNUMBER(VLOOKUP(DATE($A$4,$A$5+$A$3-1,LZ8),Feriados,1,0)))),TRUE,FALSE),FALSE)</f>
        <v>0</v>
      </c>
      <c r="MA7" s="17" t="b">
        <f>IFERROR(IF(AND(VLOOKUP(MA9,'Feriados y días laborables'!$D$3:$E$9,2,0)="Si",NOT(ISNUMBER(VLOOKUP(DATE($A$4,$A$5+$A$3-1,MA8),Feriados,1,0)))),TRUE,FALSE),FALSE)</f>
        <v>0</v>
      </c>
      <c r="MB7" s="17" t="b">
        <f>IFERROR(IF(AND(VLOOKUP(MB9,'Feriados y días laborables'!$D$3:$E$9,2,0)="Si",NOT(ISNUMBER(VLOOKUP(DATE($A$4,$A$5+$A$3-1,MB8),Feriados,1,0)))),TRUE,FALSE),FALSE)</f>
        <v>0</v>
      </c>
      <c r="MC7" s="17" t="b">
        <f>IFERROR(IF(AND(VLOOKUP(MC9,'Feriados y días laborables'!$D$3:$E$9,2,0)="Si",NOT(ISNUMBER(VLOOKUP(DATE($A$4,$A$5+$A$3-1,MC8),Feriados,1,0)))),TRUE,FALSE),FALSE)</f>
        <v>0</v>
      </c>
      <c r="MD7" s="17" t="b">
        <f>IFERROR(IF(AND(VLOOKUP(MD9,'Feriados y días laborables'!$D$3:$E$9,2,0)="Si",NOT(ISNUMBER(VLOOKUP(DATE($A$4,$A$5+$A$3-1,MD8),Feriados,1,0)))),TRUE,FALSE),FALSE)</f>
        <v>0</v>
      </c>
      <c r="ME7" s="17" t="b">
        <f>IFERROR(IF(AND(VLOOKUP(ME9,'Feriados y días laborables'!$D$3:$E$9,2,0)="Si",NOT(ISNUMBER(VLOOKUP(DATE($A$4,$A$5+$A$3-1,ME8),Feriados,1,0)))),TRUE,FALSE),FALSE)</f>
        <v>1</v>
      </c>
      <c r="MF7" s="17" t="b">
        <f>IFERROR(IF(AND(VLOOKUP(MF9,'Feriados y días laborables'!$D$3:$E$9,2,0)="Si",NOT(ISNUMBER(VLOOKUP(DATE($A$4,$A$5+$A$3-1,MF8),Feriados,1,0)))),TRUE,FALSE),FALSE)</f>
        <v>1</v>
      </c>
      <c r="MG7" s="17" t="b">
        <f>IFERROR(IF(AND(VLOOKUP(MG9,'Feriados y días laborables'!$D$3:$E$9,2,0)="Si",NOT(ISNUMBER(VLOOKUP(DATE($A$4,$A$5+$A$3-1,MG8),Feriados,1,0)))),TRUE,FALSE),FALSE)</f>
        <v>1</v>
      </c>
      <c r="MH7" s="17" t="b">
        <f>IFERROR(IF(AND(VLOOKUP(MH9,'Feriados y días laborables'!$D$3:$E$9,2,0)="Si",NOT(ISNUMBER(VLOOKUP(DATE($A$4,$A$5+$A$3-1,MH8),Feriados,1,0)))),TRUE,FALSE),FALSE)</f>
        <v>1</v>
      </c>
      <c r="MI7" s="17" t="b">
        <f>IFERROR(IF(AND(VLOOKUP(MI9,'Feriados y días laborables'!$D$3:$E$9,2,0)="Si",NOT(ISNUMBER(VLOOKUP(DATE($A$4,$A$5+$A$3-1,MI8),Feriados,1,0)))),TRUE,FALSE),FALSE)</f>
        <v>1</v>
      </c>
      <c r="MJ7" s="17" t="b">
        <f>IFERROR(IF(AND(VLOOKUP(MJ9,'Feriados y días laborables'!$D$3:$E$9,2,0)="Si",NOT(ISNUMBER(VLOOKUP(DATE($A$4,$A$5+$A$3-1,MJ8),Feriados,1,0)))),TRUE,FALSE),FALSE)</f>
        <v>1</v>
      </c>
      <c r="MK7" s="17" t="b">
        <f>IFERROR(IF(AND(VLOOKUP(MK9,'Feriados y días laborables'!$D$3:$E$9,2,0)="Si",NOT(ISNUMBER(VLOOKUP(DATE($A$4,$A$5+$A$3-1,MK8),Feriados,1,0)))),TRUE,FALSE),FALSE)</f>
        <v>1</v>
      </c>
      <c r="ML7" s="17" t="b">
        <f>IFERROR(IF(AND(VLOOKUP(ML9,'Feriados y días laborables'!$D$3:$E$9,2,0)="Si",NOT(ISNUMBER(VLOOKUP(DATE($A$4,$A$5+$A$3-1,ML8),Feriados,1,0)))),TRUE,FALSE),FALSE)</f>
        <v>1</v>
      </c>
      <c r="MM7" s="17" t="b">
        <f>IFERROR(IF(AND(VLOOKUP(MM9,'Feriados y días laborables'!$D$3:$E$9,2,0)="Si",NOT(ISNUMBER(VLOOKUP(DATE($A$4,$A$5+$A$3-1,MM8),Feriados,1,0)))),TRUE,FALSE),FALSE)</f>
        <v>1</v>
      </c>
      <c r="MN7" s="17" t="b">
        <f>IFERROR(IF(AND(VLOOKUP(MN9,'Feriados y días laborables'!$D$3:$E$9,2,0)="Si",NOT(ISNUMBER(VLOOKUP(DATE($A$4,$A$5+$A$3-1,MN8),Feriados,1,0)))),TRUE,FALSE),FALSE)</f>
        <v>1</v>
      </c>
      <c r="MO7" s="17" t="b">
        <f>IFERROR(IF(AND(VLOOKUP(MO9,'Feriados y días laborables'!$D$3:$E$9,2,0)="Si",NOT(ISNUMBER(VLOOKUP(DATE($A$4,$A$5+$A$3-1,MO8),Feriados,1,0)))),TRUE,FALSE),FALSE)</f>
        <v>1</v>
      </c>
      <c r="MP7" s="17" t="b">
        <f>IFERROR(IF(AND(VLOOKUP(MP9,'Feriados y días laborables'!$D$3:$E$9,2,0)="Si",NOT(ISNUMBER(VLOOKUP(DATE($A$4,$A$5+$A$3-1,MP8),Feriados,1,0)))),TRUE,FALSE),FALSE)</f>
        <v>1</v>
      </c>
      <c r="MQ7" s="17" t="b">
        <f>IFERROR(IF(AND(VLOOKUP(MQ9,'Feriados y días laborables'!$D$3:$E$9,2,0)="Si",NOT(ISNUMBER(VLOOKUP(DATE($A$4,$A$5+$A$3-1,MQ8),Feriados,1,0)))),TRUE,FALSE),FALSE)</f>
        <v>1</v>
      </c>
      <c r="MR7" s="17" t="b">
        <f>IFERROR(IF(AND(VLOOKUP(MR9,'Feriados y días laborables'!$D$3:$E$9,2,0)="Si",NOT(ISNUMBER(VLOOKUP(DATE($A$4,$A$5+$A$3-1,MR8),Feriados,1,0)))),TRUE,FALSE),FALSE)</f>
        <v>1</v>
      </c>
      <c r="MS7" s="17" t="b">
        <f>IFERROR(IF(AND(VLOOKUP(MS9,'Feriados y días laborables'!$D$3:$E$9,2,0)="Si",NOT(ISNUMBER(VLOOKUP(DATE($A$4,$A$5+$A$3-1,MS8),Feriados,1,0)))),TRUE,FALSE),FALSE)</f>
        <v>1</v>
      </c>
      <c r="MT7" s="17" t="b">
        <f>IFERROR(IF(AND(VLOOKUP(MT9,'Feriados y días laborables'!$D$3:$E$9,2,0)="Si",NOT(ISNUMBER(VLOOKUP(DATE($A$4,$A$5+$A$3-1,MT8),Feriados,1,0)))),TRUE,FALSE),FALSE)</f>
        <v>1</v>
      </c>
      <c r="MU7" s="17" t="b">
        <f>IFERROR(IF(AND(VLOOKUP(MU9,'Feriados y días laborables'!$D$3:$E$9,2,0)="Si",NOT(ISNUMBER(VLOOKUP(DATE($A$4,$A$5+$A$3-1,MU8),Feriados,1,0)))),TRUE,FALSE),FALSE)</f>
        <v>1</v>
      </c>
      <c r="MV7" s="17" t="b">
        <f>IFERROR(IF(AND(VLOOKUP(MV9,'Feriados y días laborables'!$D$3:$E$9,2,0)="Si",NOT(ISNUMBER(VLOOKUP(DATE($A$4,$A$5+$A$3-1,MV8),Feriados,1,0)))),TRUE,FALSE),FALSE)</f>
        <v>1</v>
      </c>
      <c r="MW7" s="17" t="b">
        <f>IFERROR(IF(AND(VLOOKUP(MW9,'Feriados y días laborables'!$D$3:$E$9,2,0)="Si",NOT(ISNUMBER(VLOOKUP(DATE($A$4,$A$5+$A$3-1,MW8),Feriados,1,0)))),TRUE,FALSE),FALSE)</f>
        <v>1</v>
      </c>
      <c r="MX7" s="17" t="b">
        <f>IFERROR(IF(AND(VLOOKUP(MX9,'Feriados y días laborables'!$D$3:$E$9,2,0)="Si",NOT(ISNUMBER(VLOOKUP(DATE($A$4,$A$5+$A$3-1,MX8),Feriados,1,0)))),TRUE,FALSE),FALSE)</f>
        <v>1</v>
      </c>
      <c r="MY7" s="17" t="b">
        <f>IFERROR(IF(AND(VLOOKUP(MY9,'Feriados y días laborables'!$D$3:$E$9,2,0)="Si",NOT(ISNUMBER(VLOOKUP(DATE($A$4,$A$5+$A$3-1,MY8),Feriados,1,0)))),TRUE,FALSE),FALSE)</f>
        <v>1</v>
      </c>
      <c r="MZ7" s="17" t="b">
        <f>IFERROR(IF(AND(VLOOKUP(MZ9,'Feriados y días laborables'!$D$3:$E$9,2,0)="Si",NOT(ISNUMBER(VLOOKUP(DATE($A$4,$A$5+$A$3-1,MZ8),Feriados,1,0)))),TRUE,FALSE),FALSE)</f>
        <v>1</v>
      </c>
      <c r="NA7" s="17" t="b">
        <f>IFERROR(IF(AND(VLOOKUP(NA9,'Feriados y días laborables'!$D$3:$E$9,2,0)="Si",NOT(ISNUMBER(VLOOKUP(DATE($A$4,$A$5+$A$3-1,NA8),Feriados,1,0)))),TRUE,FALSE),FALSE)</f>
        <v>1</v>
      </c>
      <c r="NB7" s="17" t="b">
        <f>IFERROR(IF(AND(VLOOKUP(NB9,'Feriados y días laborables'!$D$3:$E$9,2,0)="Si",NOT(ISNUMBER(VLOOKUP(DATE($A$4,$A$5+$A$3-1,NB8),Feriados,1,0)))),TRUE,FALSE),FALSE)</f>
        <v>1</v>
      </c>
      <c r="NC7" s="17" t="b">
        <f>IFERROR(IF(AND(VLOOKUP(NC9,'Feriados y días laborables'!$D$3:$E$9,2,0)="Si",NOT(ISNUMBER(VLOOKUP(DATE($A$4,$A$5+$A$3-1,NC8),Feriados,1,0)))),TRUE,FALSE),FALSE)</f>
        <v>0</v>
      </c>
      <c r="ND7" s="17" t="b">
        <f>IFERROR(IF(AND(VLOOKUP(ND9,'Feriados y días laborables'!$D$3:$E$9,2,0)="Si",NOT(ISNUMBER(VLOOKUP(DATE($A$4,$A$5+$A$3-1,ND8),Feriados,1,0)))),TRUE,FALSE),FALSE)</f>
        <v>1</v>
      </c>
      <c r="NE7" s="17" t="b">
        <f>IFERROR(IF(AND(VLOOKUP(NE9,'Feriados y días laborables'!$D$3:$E$9,2,0)="Si",NOT(ISNUMBER(VLOOKUP(DATE($A$4,$A$5+$A$3-1,NE8),Feriados,1,0)))),TRUE,FALSE),FALSE)</f>
        <v>1</v>
      </c>
      <c r="NF7" s="17" t="b">
        <f>IFERROR(IF(AND(VLOOKUP(NF9,'Feriados y días laborables'!$D$3:$E$9,2,0)="Si",NOT(ISNUMBER(VLOOKUP(DATE($A$4,$A$5+$A$3-1,NF8),Feriados,1,0)))),TRUE,FALSE),FALSE)</f>
        <v>1</v>
      </c>
      <c r="NG7" s="17" t="b">
        <f>IFERROR(IF(AND(VLOOKUP(NG9,'Feriados y días laborables'!$D$3:$E$9,2,0)="Si",NOT(ISNUMBER(VLOOKUP(DATE($A$4,$A$5+$A$3-1,NG8),Feriados,1,0)))),TRUE,FALSE),FALSE)</f>
        <v>1</v>
      </c>
      <c r="NH7" s="17" t="b">
        <f>IFERROR(IF(AND(VLOOKUP(NH9,'Feriados y días laborables'!$D$3:$E$9,2,0)="Si",NOT(ISNUMBER(VLOOKUP(DATE($A$4,$A$5+$A$3-1,NH8),Feriados,1,0)))),TRUE,FALSE),FALSE)</f>
        <v>1</v>
      </c>
      <c r="NI7" s="17" t="b">
        <f>IFERROR(IF(AND(VLOOKUP(NI9,'Feriados y días laborables'!$D$3:$E$9,2,0)="Si",NOT(ISNUMBER(VLOOKUP(DATE($A$4,$A$5+$A$3-1,NI8),Feriados,1,0)))),TRUE,FALSE),FALSE)</f>
        <v>1</v>
      </c>
      <c r="NJ7" s="17"/>
      <c r="NK7"/>
      <c r="NL7"/>
      <c r="NM7"/>
      <c r="NN7" s="16" t="s">
        <v>26</v>
      </c>
      <c r="NO7" s="16"/>
      <c r="NP7" s="16"/>
      <c r="NQ7" s="16"/>
      <c r="NR7" s="16"/>
      <c r="NT7" s="42" t="s">
        <v>48</v>
      </c>
    </row>
    <row r="8" spans="1:759" x14ac:dyDescent="0.25">
      <c r="A8" s="1"/>
      <c r="B8" s="19" t="str">
        <f>IF(AND((COLUMN()-1)&gt;31*($A$5-1),MONTH(DATE($A$4+INT(($A$5+$A$3)/12),INT((COLUMN()-1)/31.001)+$A$3,ROUNDUP(MOD(COLUMN()-1,31.001),0)))=ROUNDUP(MOD($A$3+$A$5-1,12.01),0)),ROUNDUP(MOD(COLUMN()-1,31.001),0),"")</f>
        <v/>
      </c>
      <c r="C8" s="19" t="str">
        <f t="shared" ref="C8:BN8" si="0">IF(AND((COLUMN()-1)&gt;31*($A$5-1),MONTH(DATE($A$4+INT(($A$5+$A$3)/12),INT((COLUMN()-1)/31.001)+$A$3,ROUNDUP(MOD(COLUMN()-1,31.001),0)))=ROUNDUP(MOD($A$3+$A$5-1,12.01),0)),ROUNDUP(MOD(COLUMN()-1,31.001),0),"")</f>
        <v/>
      </c>
      <c r="D8" s="19" t="str">
        <f t="shared" si="0"/>
        <v/>
      </c>
      <c r="E8" s="19" t="str">
        <f t="shared" si="0"/>
        <v/>
      </c>
      <c r="F8" s="19" t="str">
        <f t="shared" si="0"/>
        <v/>
      </c>
      <c r="G8" s="19" t="str">
        <f t="shared" si="0"/>
        <v/>
      </c>
      <c r="H8" s="19" t="str">
        <f t="shared" si="0"/>
        <v/>
      </c>
      <c r="I8" s="19" t="str">
        <f t="shared" si="0"/>
        <v/>
      </c>
      <c r="J8" s="19" t="str">
        <f t="shared" si="0"/>
        <v/>
      </c>
      <c r="K8" s="19" t="str">
        <f t="shared" si="0"/>
        <v/>
      </c>
      <c r="L8" s="19" t="str">
        <f t="shared" si="0"/>
        <v/>
      </c>
      <c r="M8" s="19" t="str">
        <f t="shared" si="0"/>
        <v/>
      </c>
      <c r="N8" s="19" t="str">
        <f t="shared" si="0"/>
        <v/>
      </c>
      <c r="O8" s="19" t="str">
        <f t="shared" si="0"/>
        <v/>
      </c>
      <c r="P8" s="19" t="str">
        <f t="shared" si="0"/>
        <v/>
      </c>
      <c r="Q8" s="19" t="str">
        <f t="shared" si="0"/>
        <v/>
      </c>
      <c r="R8" s="19" t="str">
        <f t="shared" si="0"/>
        <v/>
      </c>
      <c r="S8" s="19" t="str">
        <f t="shared" si="0"/>
        <v/>
      </c>
      <c r="T8" s="19" t="str">
        <f t="shared" si="0"/>
        <v/>
      </c>
      <c r="U8" s="19" t="str">
        <f t="shared" si="0"/>
        <v/>
      </c>
      <c r="V8" s="19" t="str">
        <f t="shared" si="0"/>
        <v/>
      </c>
      <c r="W8" s="19" t="str">
        <f t="shared" si="0"/>
        <v/>
      </c>
      <c r="X8" s="19" t="str">
        <f t="shared" si="0"/>
        <v/>
      </c>
      <c r="Y8" s="19" t="str">
        <f t="shared" si="0"/>
        <v/>
      </c>
      <c r="Z8" s="19" t="str">
        <f t="shared" si="0"/>
        <v/>
      </c>
      <c r="AA8" s="19" t="str">
        <f t="shared" si="0"/>
        <v/>
      </c>
      <c r="AB8" s="19" t="str">
        <f t="shared" si="0"/>
        <v/>
      </c>
      <c r="AC8" s="19" t="str">
        <f t="shared" si="0"/>
        <v/>
      </c>
      <c r="AD8" s="19" t="str">
        <f t="shared" si="0"/>
        <v/>
      </c>
      <c r="AE8" s="19" t="str">
        <f t="shared" si="0"/>
        <v/>
      </c>
      <c r="AF8" s="19" t="str">
        <f t="shared" si="0"/>
        <v/>
      </c>
      <c r="AG8" s="19" t="str">
        <f t="shared" si="0"/>
        <v/>
      </c>
      <c r="AH8" s="19" t="str">
        <f t="shared" si="0"/>
        <v/>
      </c>
      <c r="AI8" s="19" t="str">
        <f t="shared" si="0"/>
        <v/>
      </c>
      <c r="AJ8" s="19" t="str">
        <f t="shared" si="0"/>
        <v/>
      </c>
      <c r="AK8" s="19" t="str">
        <f t="shared" si="0"/>
        <v/>
      </c>
      <c r="AL8" s="19" t="str">
        <f t="shared" si="0"/>
        <v/>
      </c>
      <c r="AM8" s="19" t="str">
        <f t="shared" si="0"/>
        <v/>
      </c>
      <c r="AN8" s="19" t="str">
        <f t="shared" si="0"/>
        <v/>
      </c>
      <c r="AO8" s="19" t="str">
        <f t="shared" si="0"/>
        <v/>
      </c>
      <c r="AP8" s="19" t="str">
        <f t="shared" si="0"/>
        <v/>
      </c>
      <c r="AQ8" s="19" t="str">
        <f t="shared" si="0"/>
        <v/>
      </c>
      <c r="AR8" s="19" t="str">
        <f t="shared" si="0"/>
        <v/>
      </c>
      <c r="AS8" s="19" t="str">
        <f t="shared" si="0"/>
        <v/>
      </c>
      <c r="AT8" s="19" t="str">
        <f t="shared" si="0"/>
        <v/>
      </c>
      <c r="AU8" s="19" t="str">
        <f t="shared" si="0"/>
        <v/>
      </c>
      <c r="AV8" s="19" t="str">
        <f t="shared" si="0"/>
        <v/>
      </c>
      <c r="AW8" s="19" t="str">
        <f t="shared" si="0"/>
        <v/>
      </c>
      <c r="AX8" s="19" t="str">
        <f t="shared" si="0"/>
        <v/>
      </c>
      <c r="AY8" s="19" t="str">
        <f t="shared" si="0"/>
        <v/>
      </c>
      <c r="AZ8" s="19" t="str">
        <f t="shared" si="0"/>
        <v/>
      </c>
      <c r="BA8" s="17" t="b">
        <f>IFERROR(IF(AND(VLOOKUP(BA10,'Feriados y días laborables'!$D$3:$E$9,2,0)="Si",NOT(ISNUMBER(VLOOKUP(DATE($A$4,$A$5+$A$3-1,BA9),Feriados,1,0)))),TRUE,FALSE),FALSE)</f>
        <v>0</v>
      </c>
      <c r="BB8" s="19" t="str">
        <f t="shared" si="0"/>
        <v/>
      </c>
      <c r="BC8" s="19" t="str">
        <f t="shared" si="0"/>
        <v/>
      </c>
      <c r="BD8" s="19" t="str">
        <f t="shared" si="0"/>
        <v/>
      </c>
      <c r="BE8" s="19" t="str">
        <f t="shared" si="0"/>
        <v/>
      </c>
      <c r="BF8" s="19" t="str">
        <f t="shared" si="0"/>
        <v/>
      </c>
      <c r="BG8" s="19" t="str">
        <f t="shared" si="0"/>
        <v/>
      </c>
      <c r="BH8" s="19" t="str">
        <f t="shared" si="0"/>
        <v/>
      </c>
      <c r="BI8" s="19" t="str">
        <f t="shared" si="0"/>
        <v/>
      </c>
      <c r="BJ8" s="19" t="str">
        <f t="shared" si="0"/>
        <v/>
      </c>
      <c r="BK8" s="19" t="str">
        <f t="shared" si="0"/>
        <v/>
      </c>
      <c r="BL8" s="19" t="str">
        <f t="shared" si="0"/>
        <v/>
      </c>
      <c r="BM8" s="19" t="str">
        <f t="shared" si="0"/>
        <v/>
      </c>
      <c r="BN8" s="19" t="str">
        <f t="shared" si="0"/>
        <v/>
      </c>
      <c r="BO8" s="19" t="str">
        <f t="shared" ref="BO8:DZ8" si="1">IF(AND((COLUMN()-1)&gt;31*($A$5-1),MONTH(DATE($A$4+INT(($A$5+$A$3)/12),INT((COLUMN()-1)/31.001)+$A$3,ROUNDUP(MOD(COLUMN()-1,31.001),0)))=ROUNDUP(MOD($A$3+$A$5-1,12.01),0)),ROUNDUP(MOD(COLUMN()-1,31.001),0),"")</f>
        <v/>
      </c>
      <c r="BP8" s="19" t="str">
        <f t="shared" si="1"/>
        <v/>
      </c>
      <c r="BQ8" s="19" t="str">
        <f t="shared" si="1"/>
        <v/>
      </c>
      <c r="BR8" s="19" t="str">
        <f t="shared" si="1"/>
        <v/>
      </c>
      <c r="BS8" s="19" t="str">
        <f t="shared" si="1"/>
        <v/>
      </c>
      <c r="BT8" s="19" t="str">
        <f t="shared" si="1"/>
        <v/>
      </c>
      <c r="BU8" s="19" t="str">
        <f t="shared" si="1"/>
        <v/>
      </c>
      <c r="BV8" s="19" t="str">
        <f t="shared" si="1"/>
        <v/>
      </c>
      <c r="BW8" s="19" t="str">
        <f t="shared" si="1"/>
        <v/>
      </c>
      <c r="BX8" s="19" t="str">
        <f t="shared" si="1"/>
        <v/>
      </c>
      <c r="BY8" s="19" t="str">
        <f t="shared" si="1"/>
        <v/>
      </c>
      <c r="BZ8" s="19" t="str">
        <f t="shared" si="1"/>
        <v/>
      </c>
      <c r="CA8" s="19" t="str">
        <f t="shared" si="1"/>
        <v/>
      </c>
      <c r="CB8" s="19" t="str">
        <f t="shared" si="1"/>
        <v/>
      </c>
      <c r="CC8" s="19" t="str">
        <f t="shared" si="1"/>
        <v/>
      </c>
      <c r="CD8" s="19" t="str">
        <f t="shared" si="1"/>
        <v/>
      </c>
      <c r="CE8" s="19" t="str">
        <f t="shared" si="1"/>
        <v/>
      </c>
      <c r="CF8" s="19" t="str">
        <f t="shared" si="1"/>
        <v/>
      </c>
      <c r="CG8" s="19" t="str">
        <f t="shared" si="1"/>
        <v/>
      </c>
      <c r="CH8" s="19" t="str">
        <f t="shared" si="1"/>
        <v/>
      </c>
      <c r="CI8" s="19" t="str">
        <f t="shared" si="1"/>
        <v/>
      </c>
      <c r="CJ8" s="19" t="str">
        <f t="shared" si="1"/>
        <v/>
      </c>
      <c r="CK8" s="19" t="str">
        <f t="shared" si="1"/>
        <v/>
      </c>
      <c r="CL8" s="19" t="str">
        <f t="shared" si="1"/>
        <v/>
      </c>
      <c r="CM8" s="19" t="str">
        <f t="shared" si="1"/>
        <v/>
      </c>
      <c r="CN8" s="19" t="str">
        <f t="shared" si="1"/>
        <v/>
      </c>
      <c r="CO8" s="19" t="str">
        <f t="shared" si="1"/>
        <v/>
      </c>
      <c r="CP8" s="19" t="str">
        <f t="shared" si="1"/>
        <v/>
      </c>
      <c r="CQ8" s="19" t="str">
        <f t="shared" si="1"/>
        <v/>
      </c>
      <c r="CR8" s="19" t="str">
        <f t="shared" si="1"/>
        <v/>
      </c>
      <c r="CS8" s="19" t="str">
        <f t="shared" si="1"/>
        <v/>
      </c>
      <c r="CT8" s="19" t="str">
        <f t="shared" si="1"/>
        <v/>
      </c>
      <c r="CU8" s="19" t="str">
        <f t="shared" si="1"/>
        <v/>
      </c>
      <c r="CV8" s="19" t="str">
        <f t="shared" si="1"/>
        <v/>
      </c>
      <c r="CW8" s="19" t="str">
        <f t="shared" si="1"/>
        <v/>
      </c>
      <c r="CX8" s="19" t="str">
        <f t="shared" si="1"/>
        <v/>
      </c>
      <c r="CY8" s="19" t="str">
        <f t="shared" si="1"/>
        <v/>
      </c>
      <c r="CZ8" s="19" t="str">
        <f t="shared" si="1"/>
        <v/>
      </c>
      <c r="DA8" s="19" t="str">
        <f t="shared" si="1"/>
        <v/>
      </c>
      <c r="DB8" s="19" t="str">
        <f t="shared" si="1"/>
        <v/>
      </c>
      <c r="DC8" s="19" t="str">
        <f t="shared" si="1"/>
        <v/>
      </c>
      <c r="DD8" s="19" t="str">
        <f t="shared" si="1"/>
        <v/>
      </c>
      <c r="DE8" s="19" t="str">
        <f t="shared" si="1"/>
        <v/>
      </c>
      <c r="DF8" s="19" t="str">
        <f t="shared" si="1"/>
        <v/>
      </c>
      <c r="DG8" s="19" t="str">
        <f t="shared" si="1"/>
        <v/>
      </c>
      <c r="DH8" s="19" t="str">
        <f t="shared" si="1"/>
        <v/>
      </c>
      <c r="DI8" s="19" t="str">
        <f t="shared" si="1"/>
        <v/>
      </c>
      <c r="DJ8" s="19" t="str">
        <f t="shared" si="1"/>
        <v/>
      </c>
      <c r="DK8" s="19" t="str">
        <f t="shared" si="1"/>
        <v/>
      </c>
      <c r="DL8" s="19" t="str">
        <f t="shared" si="1"/>
        <v/>
      </c>
      <c r="DM8" s="19" t="str">
        <f t="shared" si="1"/>
        <v/>
      </c>
      <c r="DN8" s="19" t="str">
        <f t="shared" si="1"/>
        <v/>
      </c>
      <c r="DO8" s="19" t="str">
        <f t="shared" si="1"/>
        <v/>
      </c>
      <c r="DP8" s="19" t="str">
        <f t="shared" si="1"/>
        <v/>
      </c>
      <c r="DQ8" s="19" t="str">
        <f t="shared" si="1"/>
        <v/>
      </c>
      <c r="DR8" s="19" t="str">
        <f t="shared" si="1"/>
        <v/>
      </c>
      <c r="DS8" s="19" t="str">
        <f t="shared" si="1"/>
        <v/>
      </c>
      <c r="DT8" s="19" t="str">
        <f t="shared" si="1"/>
        <v/>
      </c>
      <c r="DU8" s="19" t="str">
        <f t="shared" si="1"/>
        <v/>
      </c>
      <c r="DV8" s="19" t="str">
        <f t="shared" si="1"/>
        <v/>
      </c>
      <c r="DW8" s="19" t="str">
        <f t="shared" si="1"/>
        <v/>
      </c>
      <c r="DX8" s="19" t="str">
        <f t="shared" si="1"/>
        <v/>
      </c>
      <c r="DY8" s="19" t="str">
        <f t="shared" si="1"/>
        <v/>
      </c>
      <c r="DZ8" s="19" t="str">
        <f t="shared" si="1"/>
        <v/>
      </c>
      <c r="EA8" s="19" t="str">
        <f t="shared" ref="EA8:GL8" si="2">IF(AND((COLUMN()-1)&gt;31*($A$5-1),MONTH(DATE($A$4+INT(($A$5+$A$3)/12),INT((COLUMN()-1)/31.001)+$A$3,ROUNDUP(MOD(COLUMN()-1,31.001),0)))=ROUNDUP(MOD($A$3+$A$5-1,12.01),0)),ROUNDUP(MOD(COLUMN()-1,31.001),0),"")</f>
        <v/>
      </c>
      <c r="EB8" s="19" t="str">
        <f>IF(AND((COLUMN()-1)&gt;31*($A$5-1),MONTH(DATE($A$4+INT(($A$5+$A$3)/12),INT((COLUMN()-1)/31.001)+$A$3,ROUNDUP(MOD(COLUMN()-1,31.001),0)))=ROUNDUP(MOD($A$3+$A$5-1,12.01),0)),ROUNDUP(MOD(COLUMN()-1,31.001),0),"")</f>
        <v/>
      </c>
      <c r="EC8" s="19" t="str">
        <f t="shared" si="2"/>
        <v/>
      </c>
      <c r="ED8" s="19" t="str">
        <f t="shared" si="2"/>
        <v/>
      </c>
      <c r="EE8" s="19" t="str">
        <f t="shared" si="2"/>
        <v/>
      </c>
      <c r="EF8" s="19" t="str">
        <f t="shared" si="2"/>
        <v/>
      </c>
      <c r="EG8" s="19" t="str">
        <f t="shared" si="2"/>
        <v/>
      </c>
      <c r="EH8" s="19" t="str">
        <f t="shared" si="2"/>
        <v/>
      </c>
      <c r="EI8" s="19" t="str">
        <f t="shared" si="2"/>
        <v/>
      </c>
      <c r="EJ8" s="19" t="str">
        <f t="shared" si="2"/>
        <v/>
      </c>
      <c r="EK8" s="19" t="str">
        <f t="shared" si="2"/>
        <v/>
      </c>
      <c r="EL8" s="19" t="str">
        <f t="shared" si="2"/>
        <v/>
      </c>
      <c r="EM8" s="19" t="str">
        <f t="shared" si="2"/>
        <v/>
      </c>
      <c r="EN8" s="19" t="str">
        <f t="shared" si="2"/>
        <v/>
      </c>
      <c r="EO8" s="19" t="str">
        <f t="shared" si="2"/>
        <v/>
      </c>
      <c r="EP8" s="19" t="str">
        <f t="shared" si="2"/>
        <v/>
      </c>
      <c r="EQ8" s="19" t="str">
        <f t="shared" si="2"/>
        <v/>
      </c>
      <c r="ER8" s="19" t="str">
        <f t="shared" si="2"/>
        <v/>
      </c>
      <c r="ES8" s="19" t="str">
        <f t="shared" si="2"/>
        <v/>
      </c>
      <c r="ET8" s="19" t="str">
        <f t="shared" si="2"/>
        <v/>
      </c>
      <c r="EU8" s="19" t="str">
        <f t="shared" si="2"/>
        <v/>
      </c>
      <c r="EV8" s="19" t="str">
        <f t="shared" si="2"/>
        <v/>
      </c>
      <c r="EW8" s="19" t="str">
        <f t="shared" si="2"/>
        <v/>
      </c>
      <c r="EX8" s="19" t="str">
        <f t="shared" si="2"/>
        <v/>
      </c>
      <c r="EY8" s="19" t="str">
        <f t="shared" si="2"/>
        <v/>
      </c>
      <c r="EZ8" s="19" t="str">
        <f t="shared" si="2"/>
        <v/>
      </c>
      <c r="FA8" s="19" t="str">
        <f t="shared" si="2"/>
        <v/>
      </c>
      <c r="FB8" s="19" t="str">
        <f t="shared" si="2"/>
        <v/>
      </c>
      <c r="FC8" s="19" t="str">
        <f t="shared" si="2"/>
        <v/>
      </c>
      <c r="FD8" s="19" t="str">
        <f t="shared" si="2"/>
        <v/>
      </c>
      <c r="FE8" s="19" t="str">
        <f t="shared" si="2"/>
        <v/>
      </c>
      <c r="FF8" s="19" t="str">
        <f t="shared" si="2"/>
        <v/>
      </c>
      <c r="FG8" s="19" t="str">
        <f t="shared" si="2"/>
        <v/>
      </c>
      <c r="FH8" s="19" t="str">
        <f t="shared" si="2"/>
        <v/>
      </c>
      <c r="FI8" s="19" t="str">
        <f t="shared" si="2"/>
        <v/>
      </c>
      <c r="FJ8" s="19" t="str">
        <f t="shared" si="2"/>
        <v/>
      </c>
      <c r="FK8" s="19" t="str">
        <f t="shared" si="2"/>
        <v/>
      </c>
      <c r="FL8" s="19" t="str">
        <f t="shared" si="2"/>
        <v/>
      </c>
      <c r="FM8" s="19" t="str">
        <f t="shared" si="2"/>
        <v/>
      </c>
      <c r="FN8" s="19" t="str">
        <f t="shared" si="2"/>
        <v/>
      </c>
      <c r="FO8" s="19" t="str">
        <f t="shared" si="2"/>
        <v/>
      </c>
      <c r="FP8" s="19" t="str">
        <f t="shared" si="2"/>
        <v/>
      </c>
      <c r="FQ8" s="19" t="str">
        <f t="shared" si="2"/>
        <v/>
      </c>
      <c r="FR8" s="19" t="str">
        <f t="shared" si="2"/>
        <v/>
      </c>
      <c r="FS8" s="19" t="str">
        <f t="shared" si="2"/>
        <v/>
      </c>
      <c r="FT8" s="19" t="str">
        <f t="shared" si="2"/>
        <v/>
      </c>
      <c r="FU8" s="19" t="str">
        <f t="shared" si="2"/>
        <v/>
      </c>
      <c r="FV8" s="19" t="str">
        <f t="shared" si="2"/>
        <v/>
      </c>
      <c r="FW8" s="19" t="str">
        <f t="shared" si="2"/>
        <v/>
      </c>
      <c r="FX8" s="19" t="str">
        <f t="shared" si="2"/>
        <v/>
      </c>
      <c r="FY8" s="19" t="str">
        <f t="shared" si="2"/>
        <v/>
      </c>
      <c r="FZ8" s="19" t="str">
        <f t="shared" si="2"/>
        <v/>
      </c>
      <c r="GA8" s="19" t="str">
        <f t="shared" si="2"/>
        <v/>
      </c>
      <c r="GB8" s="19" t="str">
        <f t="shared" si="2"/>
        <v/>
      </c>
      <c r="GC8" s="19" t="str">
        <f t="shared" si="2"/>
        <v/>
      </c>
      <c r="GD8" s="19" t="str">
        <f t="shared" si="2"/>
        <v/>
      </c>
      <c r="GE8" s="19" t="str">
        <f t="shared" si="2"/>
        <v/>
      </c>
      <c r="GF8" s="19" t="str">
        <f t="shared" si="2"/>
        <v/>
      </c>
      <c r="GG8" s="19" t="str">
        <f t="shared" si="2"/>
        <v/>
      </c>
      <c r="GH8" s="19" t="str">
        <f t="shared" si="2"/>
        <v/>
      </c>
      <c r="GI8" s="19" t="str">
        <f t="shared" si="2"/>
        <v/>
      </c>
      <c r="GJ8" s="19" t="str">
        <f t="shared" si="2"/>
        <v/>
      </c>
      <c r="GK8" s="19" t="str">
        <f t="shared" si="2"/>
        <v/>
      </c>
      <c r="GL8" s="19" t="str">
        <f t="shared" si="2"/>
        <v/>
      </c>
      <c r="GM8" s="19" t="str">
        <f t="shared" ref="GM8:IX8" si="3">IF(AND((COLUMN()-1)&gt;31*($A$5-1),MONTH(DATE($A$4+INT(($A$5+$A$3)/12),INT((COLUMN()-1)/31.001)+$A$3,ROUNDUP(MOD(COLUMN()-1,31.001),0)))=ROUNDUP(MOD($A$3+$A$5-1,12.01),0)),ROUNDUP(MOD(COLUMN()-1,31.001),0),"")</f>
        <v/>
      </c>
      <c r="GN8" s="19" t="str">
        <f t="shared" si="3"/>
        <v/>
      </c>
      <c r="GO8" s="19" t="str">
        <f t="shared" si="3"/>
        <v/>
      </c>
      <c r="GP8" s="19" t="str">
        <f t="shared" si="3"/>
        <v/>
      </c>
      <c r="GQ8" s="19" t="str">
        <f t="shared" si="3"/>
        <v/>
      </c>
      <c r="GR8" s="19" t="str">
        <f t="shared" si="3"/>
        <v/>
      </c>
      <c r="GS8" s="19" t="str">
        <f t="shared" si="3"/>
        <v/>
      </c>
      <c r="GT8" s="19" t="str">
        <f t="shared" si="3"/>
        <v/>
      </c>
      <c r="GU8" s="19" t="str">
        <f t="shared" si="3"/>
        <v/>
      </c>
      <c r="GV8" s="19" t="str">
        <f t="shared" si="3"/>
        <v/>
      </c>
      <c r="GW8" s="19" t="str">
        <f t="shared" si="3"/>
        <v/>
      </c>
      <c r="GX8" s="19" t="str">
        <f t="shared" si="3"/>
        <v/>
      </c>
      <c r="GY8" s="19" t="str">
        <f t="shared" si="3"/>
        <v/>
      </c>
      <c r="GZ8" s="19" t="str">
        <f t="shared" si="3"/>
        <v/>
      </c>
      <c r="HA8" s="19" t="str">
        <f t="shared" si="3"/>
        <v/>
      </c>
      <c r="HB8" s="19" t="str">
        <f t="shared" si="3"/>
        <v/>
      </c>
      <c r="HC8" s="19" t="str">
        <f t="shared" si="3"/>
        <v/>
      </c>
      <c r="HD8" s="19" t="str">
        <f t="shared" si="3"/>
        <v/>
      </c>
      <c r="HE8" s="19" t="str">
        <f t="shared" si="3"/>
        <v/>
      </c>
      <c r="HF8" s="19" t="str">
        <f t="shared" si="3"/>
        <v/>
      </c>
      <c r="HG8" s="19" t="str">
        <f t="shared" si="3"/>
        <v/>
      </c>
      <c r="HH8" s="19" t="str">
        <f t="shared" si="3"/>
        <v/>
      </c>
      <c r="HI8" s="19" t="str">
        <f t="shared" si="3"/>
        <v/>
      </c>
      <c r="HJ8" s="19" t="str">
        <f t="shared" si="3"/>
        <v/>
      </c>
      <c r="HK8" s="19" t="str">
        <f t="shared" si="3"/>
        <v/>
      </c>
      <c r="HL8" s="19" t="str">
        <f t="shared" si="3"/>
        <v/>
      </c>
      <c r="HM8" s="19" t="str">
        <f t="shared" si="3"/>
        <v/>
      </c>
      <c r="HN8" s="19" t="str">
        <f t="shared" si="3"/>
        <v/>
      </c>
      <c r="HO8" s="19" t="str">
        <f t="shared" si="3"/>
        <v/>
      </c>
      <c r="HP8" s="19" t="str">
        <f t="shared" si="3"/>
        <v/>
      </c>
      <c r="HQ8" s="19" t="str">
        <f t="shared" si="3"/>
        <v/>
      </c>
      <c r="HR8" s="19" t="str">
        <f t="shared" si="3"/>
        <v/>
      </c>
      <c r="HS8" s="19" t="str">
        <f t="shared" si="3"/>
        <v/>
      </c>
      <c r="HT8" s="19" t="str">
        <f t="shared" si="3"/>
        <v/>
      </c>
      <c r="HU8" s="19" t="str">
        <f t="shared" si="3"/>
        <v/>
      </c>
      <c r="HV8" s="19" t="str">
        <f t="shared" si="3"/>
        <v/>
      </c>
      <c r="HW8" s="19" t="str">
        <f t="shared" si="3"/>
        <v/>
      </c>
      <c r="HX8" s="19" t="str">
        <f t="shared" si="3"/>
        <v/>
      </c>
      <c r="HY8" s="19" t="str">
        <f t="shared" si="3"/>
        <v/>
      </c>
      <c r="HZ8" s="19" t="str">
        <f t="shared" si="3"/>
        <v/>
      </c>
      <c r="IA8" s="19" t="str">
        <f t="shared" si="3"/>
        <v/>
      </c>
      <c r="IB8" s="19" t="str">
        <f t="shared" si="3"/>
        <v/>
      </c>
      <c r="IC8" s="19" t="str">
        <f t="shared" si="3"/>
        <v/>
      </c>
      <c r="ID8" s="19" t="str">
        <f t="shared" si="3"/>
        <v/>
      </c>
      <c r="IE8" s="19" t="str">
        <f t="shared" si="3"/>
        <v/>
      </c>
      <c r="IF8" s="19" t="str">
        <f t="shared" si="3"/>
        <v/>
      </c>
      <c r="IG8" s="19" t="str">
        <f t="shared" si="3"/>
        <v/>
      </c>
      <c r="IH8" s="19" t="str">
        <f t="shared" si="3"/>
        <v/>
      </c>
      <c r="II8" s="19" t="str">
        <f t="shared" si="3"/>
        <v/>
      </c>
      <c r="IJ8" s="19" t="str">
        <f t="shared" si="3"/>
        <v/>
      </c>
      <c r="IK8" s="19" t="str">
        <f t="shared" si="3"/>
        <v/>
      </c>
      <c r="IL8" s="19" t="str">
        <f t="shared" si="3"/>
        <v/>
      </c>
      <c r="IM8" s="19" t="str">
        <f t="shared" si="3"/>
        <v/>
      </c>
      <c r="IN8" s="19" t="str">
        <f t="shared" si="3"/>
        <v/>
      </c>
      <c r="IO8" s="19" t="str">
        <f t="shared" si="3"/>
        <v/>
      </c>
      <c r="IP8" s="19" t="str">
        <f t="shared" si="3"/>
        <v/>
      </c>
      <c r="IQ8" s="19" t="str">
        <f t="shared" si="3"/>
        <v/>
      </c>
      <c r="IR8" s="19" t="str">
        <f t="shared" si="3"/>
        <v/>
      </c>
      <c r="IS8" s="19" t="str">
        <f t="shared" si="3"/>
        <v/>
      </c>
      <c r="IT8" s="19" t="str">
        <f t="shared" si="3"/>
        <v/>
      </c>
      <c r="IU8" s="19" t="str">
        <f t="shared" si="3"/>
        <v/>
      </c>
      <c r="IV8" s="19" t="str">
        <f t="shared" si="3"/>
        <v/>
      </c>
      <c r="IW8" s="19" t="str">
        <f t="shared" si="3"/>
        <v/>
      </c>
      <c r="IX8" s="19" t="str">
        <f t="shared" si="3"/>
        <v/>
      </c>
      <c r="IY8" s="19" t="str">
        <f t="shared" ref="IY8:LJ8" si="4">IF(AND((COLUMN()-1)&gt;31*($A$5-1),MONTH(DATE($A$4+INT(($A$5+$A$3)/12),INT((COLUMN()-1)/31.001)+$A$3,ROUNDUP(MOD(COLUMN()-1,31.001),0)))=ROUNDUP(MOD($A$3+$A$5-1,12.01),0)),ROUNDUP(MOD(COLUMN()-1,31.001),0),"")</f>
        <v/>
      </c>
      <c r="IZ8" s="19" t="str">
        <f t="shared" si="4"/>
        <v/>
      </c>
      <c r="JA8" s="19" t="str">
        <f t="shared" si="4"/>
        <v/>
      </c>
      <c r="JB8" s="19" t="str">
        <f t="shared" si="4"/>
        <v/>
      </c>
      <c r="JC8" s="19" t="str">
        <f t="shared" si="4"/>
        <v/>
      </c>
      <c r="JD8" s="19" t="str">
        <f t="shared" si="4"/>
        <v/>
      </c>
      <c r="JE8" s="19" t="str">
        <f t="shared" si="4"/>
        <v/>
      </c>
      <c r="JF8" s="19" t="str">
        <f t="shared" si="4"/>
        <v/>
      </c>
      <c r="JG8" s="19" t="str">
        <f t="shared" si="4"/>
        <v/>
      </c>
      <c r="JH8" s="19" t="str">
        <f t="shared" si="4"/>
        <v/>
      </c>
      <c r="JI8" s="19" t="str">
        <f t="shared" si="4"/>
        <v/>
      </c>
      <c r="JJ8" s="19" t="str">
        <f t="shared" si="4"/>
        <v/>
      </c>
      <c r="JK8" s="19" t="str">
        <f t="shared" si="4"/>
        <v/>
      </c>
      <c r="JL8" s="19" t="str">
        <f t="shared" si="4"/>
        <v/>
      </c>
      <c r="JM8" s="19" t="str">
        <f t="shared" si="4"/>
        <v/>
      </c>
      <c r="JN8" s="19" t="str">
        <f t="shared" si="4"/>
        <v/>
      </c>
      <c r="JO8" s="19" t="str">
        <f t="shared" si="4"/>
        <v/>
      </c>
      <c r="JP8" s="19" t="str">
        <f t="shared" si="4"/>
        <v/>
      </c>
      <c r="JQ8" s="19" t="str">
        <f t="shared" si="4"/>
        <v/>
      </c>
      <c r="JR8" s="19" t="str">
        <f t="shared" si="4"/>
        <v/>
      </c>
      <c r="JS8" s="19" t="str">
        <f t="shared" si="4"/>
        <v/>
      </c>
      <c r="JT8" s="19" t="str">
        <f t="shared" si="4"/>
        <v/>
      </c>
      <c r="JU8" s="19" t="str">
        <f t="shared" si="4"/>
        <v/>
      </c>
      <c r="JV8" s="19" t="str">
        <f t="shared" si="4"/>
        <v/>
      </c>
      <c r="JW8" s="19" t="str">
        <f t="shared" si="4"/>
        <v/>
      </c>
      <c r="JX8" s="19" t="str">
        <f t="shared" si="4"/>
        <v/>
      </c>
      <c r="JY8" s="19" t="str">
        <f t="shared" si="4"/>
        <v/>
      </c>
      <c r="JZ8" s="19" t="str">
        <f t="shared" si="4"/>
        <v/>
      </c>
      <c r="KA8" s="19" t="str">
        <f t="shared" si="4"/>
        <v/>
      </c>
      <c r="KB8" s="19" t="str">
        <f t="shared" si="4"/>
        <v/>
      </c>
      <c r="KC8" s="19" t="str">
        <f t="shared" si="4"/>
        <v/>
      </c>
      <c r="KD8" s="19" t="str">
        <f t="shared" si="4"/>
        <v/>
      </c>
      <c r="KE8" s="19" t="str">
        <f t="shared" si="4"/>
        <v/>
      </c>
      <c r="KF8" s="19" t="str">
        <f t="shared" si="4"/>
        <v/>
      </c>
      <c r="KG8" s="19" t="str">
        <f t="shared" si="4"/>
        <v/>
      </c>
      <c r="KH8" s="19" t="str">
        <f t="shared" si="4"/>
        <v/>
      </c>
      <c r="KI8" s="19" t="str">
        <f t="shared" si="4"/>
        <v/>
      </c>
      <c r="KJ8" s="19" t="str">
        <f t="shared" si="4"/>
        <v/>
      </c>
      <c r="KK8" s="19" t="str">
        <f t="shared" si="4"/>
        <v/>
      </c>
      <c r="KL8" s="19" t="str">
        <f t="shared" si="4"/>
        <v/>
      </c>
      <c r="KM8" s="19" t="str">
        <f t="shared" si="4"/>
        <v/>
      </c>
      <c r="KN8" s="19" t="str">
        <f t="shared" si="4"/>
        <v/>
      </c>
      <c r="KO8" s="19" t="str">
        <f t="shared" si="4"/>
        <v/>
      </c>
      <c r="KP8" s="19" t="str">
        <f t="shared" si="4"/>
        <v/>
      </c>
      <c r="KQ8" s="19" t="str">
        <f t="shared" si="4"/>
        <v/>
      </c>
      <c r="KR8" s="19" t="str">
        <f t="shared" si="4"/>
        <v/>
      </c>
      <c r="KS8" s="19" t="str">
        <f t="shared" si="4"/>
        <v/>
      </c>
      <c r="KT8" s="19" t="str">
        <f t="shared" si="4"/>
        <v/>
      </c>
      <c r="KU8" s="19" t="str">
        <f t="shared" si="4"/>
        <v/>
      </c>
      <c r="KV8" s="19" t="str">
        <f t="shared" si="4"/>
        <v/>
      </c>
      <c r="KW8" s="19" t="str">
        <f t="shared" si="4"/>
        <v/>
      </c>
      <c r="KX8" s="19" t="str">
        <f t="shared" si="4"/>
        <v/>
      </c>
      <c r="KY8" s="19" t="str">
        <f t="shared" si="4"/>
        <v/>
      </c>
      <c r="KZ8" s="19" t="str">
        <f t="shared" si="4"/>
        <v/>
      </c>
      <c r="LA8" s="19" t="str">
        <f t="shared" si="4"/>
        <v/>
      </c>
      <c r="LB8" s="19" t="str">
        <f t="shared" si="4"/>
        <v/>
      </c>
      <c r="LC8" s="19" t="str">
        <f t="shared" si="4"/>
        <v/>
      </c>
      <c r="LD8" s="19" t="str">
        <f t="shared" si="4"/>
        <v/>
      </c>
      <c r="LE8" s="19" t="str">
        <f t="shared" si="4"/>
        <v/>
      </c>
      <c r="LF8" s="19" t="str">
        <f t="shared" si="4"/>
        <v/>
      </c>
      <c r="LG8" s="19" t="str">
        <f t="shared" si="4"/>
        <v/>
      </c>
      <c r="LH8" s="19" t="str">
        <f t="shared" si="4"/>
        <v/>
      </c>
      <c r="LI8" s="19" t="str">
        <f t="shared" si="4"/>
        <v/>
      </c>
      <c r="LJ8" s="19" t="str">
        <f t="shared" si="4"/>
        <v/>
      </c>
      <c r="LK8" s="19" t="str">
        <f t="shared" ref="LK8:NI8" si="5">IF(AND((COLUMN()-1)&gt;31*($A$5-1),MONTH(DATE($A$4+INT(($A$5+$A$3)/12),INT((COLUMN()-1)/31.001)+$A$3,ROUNDUP(MOD(COLUMN()-1,31.001),0)))=ROUNDUP(MOD($A$3+$A$5-1,12.01),0)),ROUNDUP(MOD(COLUMN()-1,31.001),0),"")</f>
        <v/>
      </c>
      <c r="LL8" s="19" t="str">
        <f t="shared" si="5"/>
        <v/>
      </c>
      <c r="LM8" s="19" t="str">
        <f t="shared" si="5"/>
        <v/>
      </c>
      <c r="LN8" s="19" t="str">
        <f t="shared" si="5"/>
        <v/>
      </c>
      <c r="LO8" s="19" t="str">
        <f t="shared" si="5"/>
        <v/>
      </c>
      <c r="LP8" s="19" t="str">
        <f t="shared" si="5"/>
        <v/>
      </c>
      <c r="LQ8" s="19" t="str">
        <f t="shared" si="5"/>
        <v/>
      </c>
      <c r="LR8" s="19" t="str">
        <f t="shared" si="5"/>
        <v/>
      </c>
      <c r="LS8" s="19" t="str">
        <f t="shared" si="5"/>
        <v/>
      </c>
      <c r="LT8" s="19" t="str">
        <f t="shared" si="5"/>
        <v/>
      </c>
      <c r="LU8" s="19" t="str">
        <f t="shared" si="5"/>
        <v/>
      </c>
      <c r="LV8" s="19" t="str">
        <f t="shared" si="5"/>
        <v/>
      </c>
      <c r="LW8" s="19" t="str">
        <f t="shared" si="5"/>
        <v/>
      </c>
      <c r="LX8" s="19" t="str">
        <f t="shared" si="5"/>
        <v/>
      </c>
      <c r="LY8" s="19" t="str">
        <f t="shared" si="5"/>
        <v/>
      </c>
      <c r="LZ8" s="19" t="str">
        <f t="shared" si="5"/>
        <v/>
      </c>
      <c r="MA8" s="19" t="str">
        <f t="shared" si="5"/>
        <v/>
      </c>
      <c r="MB8" s="19" t="str">
        <f t="shared" si="5"/>
        <v/>
      </c>
      <c r="MC8" s="19" t="str">
        <f t="shared" si="5"/>
        <v/>
      </c>
      <c r="MD8" s="19" t="str">
        <f t="shared" si="5"/>
        <v/>
      </c>
      <c r="ME8" s="19">
        <f t="shared" si="5"/>
        <v>1</v>
      </c>
      <c r="MF8" s="19">
        <f t="shared" si="5"/>
        <v>2</v>
      </c>
      <c r="MG8" s="19">
        <f t="shared" si="5"/>
        <v>3</v>
      </c>
      <c r="MH8" s="19">
        <f t="shared" si="5"/>
        <v>4</v>
      </c>
      <c r="MI8" s="19">
        <f t="shared" si="5"/>
        <v>5</v>
      </c>
      <c r="MJ8" s="19">
        <f t="shared" si="5"/>
        <v>6</v>
      </c>
      <c r="MK8" s="19">
        <f t="shared" si="5"/>
        <v>7</v>
      </c>
      <c r="ML8" s="19">
        <f t="shared" si="5"/>
        <v>8</v>
      </c>
      <c r="MM8" s="19">
        <f t="shared" si="5"/>
        <v>9</v>
      </c>
      <c r="MN8" s="19">
        <f t="shared" si="5"/>
        <v>10</v>
      </c>
      <c r="MO8" s="19">
        <f t="shared" si="5"/>
        <v>11</v>
      </c>
      <c r="MP8" s="19">
        <f t="shared" si="5"/>
        <v>12</v>
      </c>
      <c r="MQ8" s="19">
        <f t="shared" si="5"/>
        <v>13</v>
      </c>
      <c r="MR8" s="19">
        <f t="shared" si="5"/>
        <v>14</v>
      </c>
      <c r="MS8" s="19">
        <f t="shared" si="5"/>
        <v>15</v>
      </c>
      <c r="MT8" s="19">
        <f t="shared" si="5"/>
        <v>16</v>
      </c>
      <c r="MU8" s="19">
        <f t="shared" si="5"/>
        <v>17</v>
      </c>
      <c r="MV8" s="19">
        <f t="shared" si="5"/>
        <v>18</v>
      </c>
      <c r="MW8" s="19">
        <f t="shared" si="5"/>
        <v>19</v>
      </c>
      <c r="MX8" s="19">
        <f t="shared" si="5"/>
        <v>20</v>
      </c>
      <c r="MY8" s="19">
        <f t="shared" si="5"/>
        <v>21</v>
      </c>
      <c r="MZ8" s="19">
        <f t="shared" si="5"/>
        <v>22</v>
      </c>
      <c r="NA8" s="19">
        <f t="shared" si="5"/>
        <v>23</v>
      </c>
      <c r="NB8" s="19">
        <f t="shared" si="5"/>
        <v>24</v>
      </c>
      <c r="NC8" s="19">
        <f t="shared" si="5"/>
        <v>25</v>
      </c>
      <c r="ND8" s="19">
        <f t="shared" si="5"/>
        <v>26</v>
      </c>
      <c r="NE8" s="19">
        <f t="shared" si="5"/>
        <v>27</v>
      </c>
      <c r="NF8" s="19">
        <f t="shared" si="5"/>
        <v>28</v>
      </c>
      <c r="NG8" s="19">
        <f t="shared" si="5"/>
        <v>29</v>
      </c>
      <c r="NH8" s="19">
        <f t="shared" si="5"/>
        <v>30</v>
      </c>
      <c r="NI8" s="19">
        <f t="shared" si="5"/>
        <v>31</v>
      </c>
      <c r="NJ8" s="51" t="s">
        <v>32</v>
      </c>
      <c r="NK8" s="53" t="s">
        <v>33</v>
      </c>
      <c r="NL8" s="55" t="s">
        <v>57</v>
      </c>
      <c r="NM8" s="55" t="s">
        <v>38</v>
      </c>
      <c r="NN8" s="49" t="s">
        <v>22</v>
      </c>
      <c r="NO8" s="49" t="s">
        <v>0</v>
      </c>
      <c r="NP8" s="49" t="s">
        <v>1</v>
      </c>
      <c r="NQ8" s="49" t="s">
        <v>25</v>
      </c>
      <c r="NR8" s="49" t="s">
        <v>36</v>
      </c>
    </row>
    <row r="9" spans="1:759" s="20" customFormat="1" ht="18.75" customHeight="1" x14ac:dyDescent="0.25">
      <c r="A9" s="29" t="s">
        <v>27</v>
      </c>
      <c r="B9" s="30" t="str">
        <f>IF(B$8="","",VLOOKUP(WEEKDAY(DATE($A$4,$A$5+$A$3-1,B8),2),Auxiliar!$D$1:$E$7,2,0))</f>
        <v/>
      </c>
      <c r="C9" s="30" t="str">
        <f>IF(C$8="","",VLOOKUP(WEEKDAY(DATE($A$4,$A$5+$A$3-1,C8),2),Auxiliar!$D$1:$E$7,2,0))</f>
        <v/>
      </c>
      <c r="D9" s="30" t="str">
        <f>IF(D$8="","",VLOOKUP(WEEKDAY(DATE($A$4,$A$5+$A$3-1,D8),2),Auxiliar!$D$1:$E$7,2,0))</f>
        <v/>
      </c>
      <c r="E9" s="30" t="str">
        <f>IF(E$8="","",VLOOKUP(WEEKDAY(DATE($A$4,$A$5+$A$3-1,E8),2),Auxiliar!$D$1:$E$7,2,0))</f>
        <v/>
      </c>
      <c r="F9" s="30" t="str">
        <f>IF(F$8="","",VLOOKUP(WEEKDAY(DATE($A$4,$A$5+$A$3-1,F8),2),Auxiliar!$D$1:$E$7,2,0))</f>
        <v/>
      </c>
      <c r="G9" s="30" t="str">
        <f>IF(G$8="","",VLOOKUP(WEEKDAY(DATE($A$4,$A$5+$A$3-1,G8),2),Auxiliar!$D$1:$E$7,2,0))</f>
        <v/>
      </c>
      <c r="H9" s="30" t="str">
        <f>IF(H$8="","",VLOOKUP(WEEKDAY(DATE($A$4,$A$5+$A$3-1,H8),2),Auxiliar!$D$1:$E$7,2,0))</f>
        <v/>
      </c>
      <c r="I9" s="30" t="str">
        <f>IF(I$8="","",VLOOKUP(WEEKDAY(DATE($A$4,$A$5+$A$3-1,I8),2),Auxiliar!$D$1:$E$7,2,0))</f>
        <v/>
      </c>
      <c r="J9" s="30" t="str">
        <f>IF(J$8="","",VLOOKUP(WEEKDAY(DATE($A$4,$A$5+$A$3-1,J8),2),Auxiliar!$D$1:$E$7,2,0))</f>
        <v/>
      </c>
      <c r="K9" s="30" t="str">
        <f>IF(K$8="","",VLOOKUP(WEEKDAY(DATE($A$4,$A$5+$A$3-1,K8),2),Auxiliar!$D$1:$E$7,2,0))</f>
        <v/>
      </c>
      <c r="L9" s="30" t="str">
        <f>IF(L$8="","",VLOOKUP(WEEKDAY(DATE($A$4,$A$5+$A$3-1,L8),2),Auxiliar!$D$1:$E$7,2,0))</f>
        <v/>
      </c>
      <c r="M9" s="30" t="str">
        <f>IF(M$8="","",VLOOKUP(WEEKDAY(DATE($A$4,$A$5+$A$3-1,M8),2),Auxiliar!$D$1:$E$7,2,0))</f>
        <v/>
      </c>
      <c r="N9" s="30" t="str">
        <f>IF(N$8="","",VLOOKUP(WEEKDAY(DATE($A$4,$A$5+$A$3-1,N8),2),Auxiliar!$D$1:$E$7,2,0))</f>
        <v/>
      </c>
      <c r="O9" s="30" t="str">
        <f>IF(O$8="","",VLOOKUP(WEEKDAY(DATE($A$4,$A$5+$A$3-1,O8),2),Auxiliar!$D$1:$E$7,2,0))</f>
        <v/>
      </c>
      <c r="P9" s="30" t="str">
        <f>IF(P$8="","",VLOOKUP(WEEKDAY(DATE($A$4,$A$5+$A$3-1,P8),2),Auxiliar!$D$1:$E$7,2,0))</f>
        <v/>
      </c>
      <c r="Q9" s="30" t="str">
        <f>IF(Q$8="","",VLOOKUP(WEEKDAY(DATE($A$4,$A$5+$A$3-1,Q8),2),Auxiliar!$D$1:$E$7,2,0))</f>
        <v/>
      </c>
      <c r="R9" s="30" t="str">
        <f>IF(R$8="","",VLOOKUP(WEEKDAY(DATE($A$4,$A$5+$A$3-1,R8),2),Auxiliar!$D$1:$E$7,2,0))</f>
        <v/>
      </c>
      <c r="S9" s="30" t="str">
        <f>IF(S$8="","",VLOOKUP(WEEKDAY(DATE($A$4,$A$5+$A$3-1,S8),2),Auxiliar!$D$1:$E$7,2,0))</f>
        <v/>
      </c>
      <c r="T9" s="30" t="str">
        <f>IF(T$8="","",VLOOKUP(WEEKDAY(DATE($A$4,$A$5+$A$3-1,T8),2),Auxiliar!$D$1:$E$7,2,0))</f>
        <v/>
      </c>
      <c r="U9" s="30" t="str">
        <f>IF(U$8="","",VLOOKUP(WEEKDAY(DATE($A$4,$A$5+$A$3-1,U8),2),Auxiliar!$D$1:$E$7,2,0))</f>
        <v/>
      </c>
      <c r="V9" s="30" t="str">
        <f>IF(V$8="","",VLOOKUP(WEEKDAY(DATE($A$4,$A$5+$A$3-1,V8),2),Auxiliar!$D$1:$E$7,2,0))</f>
        <v/>
      </c>
      <c r="W9" s="30" t="str">
        <f>IF(W$8="","",VLOOKUP(WEEKDAY(DATE($A$4,$A$5+$A$3-1,W8),2),Auxiliar!$D$1:$E$7,2,0))</f>
        <v/>
      </c>
      <c r="X9" s="30" t="str">
        <f>IF(X$8="","",VLOOKUP(WEEKDAY(DATE($A$4,$A$5+$A$3-1,X8),2),Auxiliar!$D$1:$E$7,2,0))</f>
        <v/>
      </c>
      <c r="Y9" s="30" t="str">
        <f>IF(Y$8="","",VLOOKUP(WEEKDAY(DATE($A$4,$A$5+$A$3-1,Y8),2),Auxiliar!$D$1:$E$7,2,0))</f>
        <v/>
      </c>
      <c r="Z9" s="30" t="str">
        <f>IF(Z$8="","",VLOOKUP(WEEKDAY(DATE($A$4,$A$5+$A$3-1,Z8),2),Auxiliar!$D$1:$E$7,2,0))</f>
        <v/>
      </c>
      <c r="AA9" s="30" t="str">
        <f>IF(AA$8="","",VLOOKUP(WEEKDAY(DATE($A$4,$A$5+$A$3-1,AA8),2),Auxiliar!$D$1:$E$7,2,0))</f>
        <v/>
      </c>
      <c r="AB9" s="30" t="str">
        <f>IF(AB$8="","",VLOOKUP(WEEKDAY(DATE($A$4,$A$5+$A$3-1,AB8),2),Auxiliar!$D$1:$E$7,2,0))</f>
        <v/>
      </c>
      <c r="AC9" s="30" t="str">
        <f>IF(AC$8="","",VLOOKUP(WEEKDAY(DATE($A$4,$A$5+$A$3-1,AC8),2),Auxiliar!$D$1:$E$7,2,0))</f>
        <v/>
      </c>
      <c r="AD9" s="30" t="str">
        <f>IF(AD$8="","",VLOOKUP(WEEKDAY(DATE($A$4,$A$5+$A$3-1,AD8),2),Auxiliar!$D$1:$E$7,2,0))</f>
        <v/>
      </c>
      <c r="AE9" s="30" t="str">
        <f>IF(AE$8="","",VLOOKUP(WEEKDAY(DATE($A$4,$A$5+$A$3-1,AE8),2),Auxiliar!$D$1:$E$7,2,0))</f>
        <v/>
      </c>
      <c r="AF9" s="30" t="str">
        <f>IF(AF$8="","",VLOOKUP(WEEKDAY(DATE($A$4,$A$5+$A$3-1,AF8),2),Auxiliar!$D$1:$E$7,2,0))</f>
        <v/>
      </c>
      <c r="AG9" s="30" t="str">
        <f>IF(AG$8="","",VLOOKUP(WEEKDAY(DATE($A$4,$A$5+$A$3-1,AG8),2),Auxiliar!$D$1:$E$7,2,0))</f>
        <v/>
      </c>
      <c r="AH9" s="30" t="str">
        <f>IF(AH$8="","",VLOOKUP(WEEKDAY(DATE($A$4,$A$5+$A$3-1,AH8),2),Auxiliar!$D$1:$E$7,2,0))</f>
        <v/>
      </c>
      <c r="AI9" s="30" t="str">
        <f>IF(AI$8="","",VLOOKUP(WEEKDAY(DATE($A$4,$A$5+$A$3-1,AI8),2),Auxiliar!$D$1:$E$7,2,0))</f>
        <v/>
      </c>
      <c r="AJ9" s="30" t="str">
        <f>IF(AJ$8="","",VLOOKUP(WEEKDAY(DATE($A$4,$A$5+$A$3-1,AJ8),2),Auxiliar!$D$1:$E$7,2,0))</f>
        <v/>
      </c>
      <c r="AK9" s="30" t="str">
        <f>IF(AK$8="","",VLOOKUP(WEEKDAY(DATE($A$4,$A$5+$A$3-1,AK8),2),Auxiliar!$D$1:$E$7,2,0))</f>
        <v/>
      </c>
      <c r="AL9" s="30" t="str">
        <f>IF(AL$8="","",VLOOKUP(WEEKDAY(DATE($A$4,$A$5+$A$3-1,AL8),2),Auxiliar!$D$1:$E$7,2,0))</f>
        <v/>
      </c>
      <c r="AM9" s="30" t="str">
        <f>IF(AM$8="","",VLOOKUP(WEEKDAY(DATE($A$4,$A$5+$A$3-1,AM8),2),Auxiliar!$D$1:$E$7,2,0))</f>
        <v/>
      </c>
      <c r="AN9" s="30" t="str">
        <f>IF(AN$8="","",VLOOKUP(WEEKDAY(DATE($A$4,$A$5+$A$3-1,AN8),2),Auxiliar!$D$1:$E$7,2,0))</f>
        <v/>
      </c>
      <c r="AO9" s="30" t="str">
        <f>IF(AO$8="","",VLOOKUP(WEEKDAY(DATE($A$4,$A$5+$A$3-1,AO8),2),Auxiliar!$D$1:$E$7,2,0))</f>
        <v/>
      </c>
      <c r="AP9" s="30" t="str">
        <f>IF(AP$8="","",VLOOKUP(WEEKDAY(DATE($A$4,$A$5+$A$3-1,AP8),2),Auxiliar!$D$1:$E$7,2,0))</f>
        <v/>
      </c>
      <c r="AQ9" s="30" t="str">
        <f>IF(AQ$8="","",VLOOKUP(WEEKDAY(DATE($A$4,$A$5+$A$3-1,AQ8),2),Auxiliar!$D$1:$E$7,2,0))</f>
        <v/>
      </c>
      <c r="AR9" s="30" t="str">
        <f>IF(AR$8="","",VLOOKUP(WEEKDAY(DATE($A$4,$A$5+$A$3-1,AR8),2),Auxiliar!$D$1:$E$7,2,0))</f>
        <v/>
      </c>
      <c r="AS9" s="30" t="str">
        <f>IF(AS$8="","",VLOOKUP(WEEKDAY(DATE($A$4,$A$5+$A$3-1,AS8),2),Auxiliar!$D$1:$E$7,2,0))</f>
        <v/>
      </c>
      <c r="AT9" s="30" t="str">
        <f>IF(AT$8="","",VLOOKUP(WEEKDAY(DATE($A$4,$A$5+$A$3-1,AT8),2),Auxiliar!$D$1:$E$7,2,0))</f>
        <v/>
      </c>
      <c r="AU9" s="30" t="str">
        <f>IF(AU$8="","",VLOOKUP(WEEKDAY(DATE($A$4,$A$5+$A$3-1,AU8),2),Auxiliar!$D$1:$E$7,2,0))</f>
        <v/>
      </c>
      <c r="AV9" s="30" t="str">
        <f>IF(AV$8="","",VLOOKUP(WEEKDAY(DATE($A$4,$A$5+$A$3-1,AV8),2),Auxiliar!$D$1:$E$7,2,0))</f>
        <v/>
      </c>
      <c r="AW9" s="30" t="str">
        <f>IF(AW$8="","",VLOOKUP(WEEKDAY(DATE($A$4,$A$5+$A$3-1,AW8),2),Auxiliar!$D$1:$E$7,2,0))</f>
        <v/>
      </c>
      <c r="AX9" s="30" t="str">
        <f>IF(AX$8="","",VLOOKUP(WEEKDAY(DATE($A$4,$A$5+$A$3-1,AX8),2),Auxiliar!$D$1:$E$7,2,0))</f>
        <v/>
      </c>
      <c r="AY9" s="30" t="str">
        <f>IF(AY$8="","",VLOOKUP(WEEKDAY(DATE($A$4,$A$5+$A$3-1,AY8),2),Auxiliar!$D$1:$E$7,2,0))</f>
        <v/>
      </c>
      <c r="AZ9" s="30" t="str">
        <f>IF(AZ$8="","",VLOOKUP(WEEKDAY(DATE($A$4,$A$5+$A$3-1,AZ8),2),Auxiliar!$D$1:$E$7,2,0))</f>
        <v/>
      </c>
      <c r="BA9" s="17" t="b">
        <f>IFERROR(IF(AND(VLOOKUP(BA11,'Feriados y días laborables'!$D$3:$E$9,2,0)="Si",NOT(ISNUMBER(VLOOKUP(DATE($A$4,$A$5+$A$3-1,BA10),Feriados,1,0)))),TRUE,FALSE),FALSE)</f>
        <v>0</v>
      </c>
      <c r="BB9" s="30" t="str">
        <f>IF(BB$8="","",VLOOKUP(WEEKDAY(DATE($A$4,$A$5+$A$3-1,BB8),2),Auxiliar!$D$1:$E$7,2,0))</f>
        <v/>
      </c>
      <c r="BC9" s="30" t="str">
        <f>IF(BC$8="","",VLOOKUP(WEEKDAY(DATE($A$4,$A$5+$A$3-1,BC8),2),Auxiliar!$D$1:$E$7,2,0))</f>
        <v/>
      </c>
      <c r="BD9" s="30" t="str">
        <f>IF(BD$8="","",VLOOKUP(WEEKDAY(DATE($A$4,$A$5+$A$3-1,BD8),2),Auxiliar!$D$1:$E$7,2,0))</f>
        <v/>
      </c>
      <c r="BE9" s="30" t="str">
        <f>IF(BE$8="","",VLOOKUP(WEEKDAY(DATE($A$4,$A$5+$A$3-1,BE8),2),Auxiliar!$D$1:$E$7,2,0))</f>
        <v/>
      </c>
      <c r="BF9" s="30" t="str">
        <f>IF(BF$8="","",VLOOKUP(WEEKDAY(DATE($A$4,$A$5+$A$3-1,BF8),2),Auxiliar!$D$1:$E$7,2,0))</f>
        <v/>
      </c>
      <c r="BG9" s="30" t="str">
        <f>IF(BG$8="","",VLOOKUP(WEEKDAY(DATE($A$4,$A$5+$A$3-1,BG8),2),Auxiliar!$D$1:$E$7,2,0))</f>
        <v/>
      </c>
      <c r="BH9" s="30" t="str">
        <f>IF(BH$8="","",VLOOKUP(WEEKDAY(DATE($A$4,$A$5+$A$3-1,BH8),2),Auxiliar!$D$1:$E$7,2,0))</f>
        <v/>
      </c>
      <c r="BI9" s="30" t="str">
        <f>IF(BI$8="","",VLOOKUP(WEEKDAY(DATE($A$4,$A$5+$A$3-1,BI8),2),Auxiliar!$D$1:$E$7,2,0))</f>
        <v/>
      </c>
      <c r="BJ9" s="30" t="str">
        <f>IF(BJ$8="","",VLOOKUP(WEEKDAY(DATE($A$4,$A$5+$A$3-1,BJ8),2),Auxiliar!$D$1:$E$7,2,0))</f>
        <v/>
      </c>
      <c r="BK9" s="30" t="str">
        <f>IF(BK$8="","",VLOOKUP(WEEKDAY(DATE($A$4,$A$5+$A$3-1,BK8),2),Auxiliar!$D$1:$E$7,2,0))</f>
        <v/>
      </c>
      <c r="BL9" s="30" t="str">
        <f>IF(BL$8="","",VLOOKUP(WEEKDAY(DATE($A$4,$A$5+$A$3-1,BL8),2),Auxiliar!$D$1:$E$7,2,0))</f>
        <v/>
      </c>
      <c r="BM9" s="30" t="str">
        <f>IF(BM$8="","",VLOOKUP(WEEKDAY(DATE($A$4,$A$5+$A$3-1,BM8),2),Auxiliar!$D$1:$E$7,2,0))</f>
        <v/>
      </c>
      <c r="BN9" s="30" t="str">
        <f>IF(BN$8="","",VLOOKUP(WEEKDAY(DATE($A$4,$A$5+$A$3-1,BN8),2),Auxiliar!$D$1:$E$7,2,0))</f>
        <v/>
      </c>
      <c r="BO9" s="30" t="str">
        <f>IF(BO$8="","",VLOOKUP(WEEKDAY(DATE($A$4,$A$5+$A$3-1,BO8),2),Auxiliar!$D$1:$E$7,2,0))</f>
        <v/>
      </c>
      <c r="BP9" s="30" t="str">
        <f>IF(BP$8="","",VLOOKUP(WEEKDAY(DATE($A$4,$A$5+$A$3-1,BP8),2),Auxiliar!$D$1:$E$7,2,0))</f>
        <v/>
      </c>
      <c r="BQ9" s="30" t="str">
        <f>IF(BQ$8="","",VLOOKUP(WEEKDAY(DATE($A$4,$A$5+$A$3-1,BQ8),2),Auxiliar!$D$1:$E$7,2,0))</f>
        <v/>
      </c>
      <c r="BR9" s="30" t="str">
        <f>IF(BR$8="","",VLOOKUP(WEEKDAY(DATE($A$4,$A$5+$A$3-1,BR8),2),Auxiliar!$D$1:$E$7,2,0))</f>
        <v/>
      </c>
      <c r="BS9" s="30" t="str">
        <f>IF(BS$8="","",VLOOKUP(WEEKDAY(DATE($A$4,$A$5+$A$3-1,BS8),2),Auxiliar!$D$1:$E$7,2,0))</f>
        <v/>
      </c>
      <c r="BT9" s="30" t="str">
        <f>IF(BT$8="","",VLOOKUP(WEEKDAY(DATE($A$4,$A$5+$A$3-1,BT8),2),Auxiliar!$D$1:$E$7,2,0))</f>
        <v/>
      </c>
      <c r="BU9" s="30" t="str">
        <f>IF(BU$8="","",VLOOKUP(WEEKDAY(DATE($A$4,$A$5+$A$3-1,BU8),2),Auxiliar!$D$1:$E$7,2,0))</f>
        <v/>
      </c>
      <c r="BV9" s="30" t="str">
        <f>IF(BV$8="","",VLOOKUP(WEEKDAY(DATE($A$4,$A$5+$A$3-1,BV8),2),Auxiliar!$D$1:$E$7,2,0))</f>
        <v/>
      </c>
      <c r="BW9" s="30" t="str">
        <f>IF(BW$8="","",VLOOKUP(WEEKDAY(DATE($A$4,$A$5+$A$3-1,BW8),2),Auxiliar!$D$1:$E$7,2,0))</f>
        <v/>
      </c>
      <c r="BX9" s="30" t="str">
        <f>IF(BX$8="","",VLOOKUP(WEEKDAY(DATE($A$4,$A$5+$A$3-1,BX8),2),Auxiliar!$D$1:$E$7,2,0))</f>
        <v/>
      </c>
      <c r="BY9" s="30" t="str">
        <f>IF(BY$8="","",VLOOKUP(WEEKDAY(DATE($A$4,$A$5+$A$3-1,BY8),2),Auxiliar!$D$1:$E$7,2,0))</f>
        <v/>
      </c>
      <c r="BZ9" s="30" t="str">
        <f>IF(BZ$8="","",VLOOKUP(WEEKDAY(DATE($A$4,$A$5+$A$3-1,BZ8),2),Auxiliar!$D$1:$E$7,2,0))</f>
        <v/>
      </c>
      <c r="CA9" s="30" t="str">
        <f>IF(CA$8="","",VLOOKUP(WEEKDAY(DATE($A$4,$A$5+$A$3-1,CA8),2),Auxiliar!$D$1:$E$7,2,0))</f>
        <v/>
      </c>
      <c r="CB9" s="30" t="str">
        <f>IF(CB$8="","",VLOOKUP(WEEKDAY(DATE($A$4,$A$5+$A$3-1,CB8),2),Auxiliar!$D$1:$E$7,2,0))</f>
        <v/>
      </c>
      <c r="CC9" s="30" t="str">
        <f>IF(CC$8="","",VLOOKUP(WEEKDAY(DATE($A$4,$A$5+$A$3-1,CC8),2),Auxiliar!$D$1:$E$7,2,0))</f>
        <v/>
      </c>
      <c r="CD9" s="30" t="str">
        <f>IF(CD$8="","",VLOOKUP(WEEKDAY(DATE($A$4,$A$5+$A$3-1,CD8),2),Auxiliar!$D$1:$E$7,2,0))</f>
        <v/>
      </c>
      <c r="CE9" s="30" t="str">
        <f>IF(CE$8="","",VLOOKUP(WEEKDAY(DATE($A$4,$A$5+$A$3-1,CE8),2),Auxiliar!$D$1:$E$7,2,0))</f>
        <v/>
      </c>
      <c r="CF9" s="30" t="str">
        <f>IF(CF$8="","",VLOOKUP(WEEKDAY(DATE($A$4,$A$5+$A$3-1,CF8),2),Auxiliar!$D$1:$E$7,2,0))</f>
        <v/>
      </c>
      <c r="CG9" s="30" t="str">
        <f>IF(CG$8="","",VLOOKUP(WEEKDAY(DATE($A$4,$A$5+$A$3-1,CG8),2),Auxiliar!$D$1:$E$7,2,0))</f>
        <v/>
      </c>
      <c r="CH9" s="30" t="str">
        <f>IF(CH$8="","",VLOOKUP(WEEKDAY(DATE($A$4,$A$5+$A$3-1,CH8),2),Auxiliar!$D$1:$E$7,2,0))</f>
        <v/>
      </c>
      <c r="CI9" s="30" t="str">
        <f>IF(CI$8="","",VLOOKUP(WEEKDAY(DATE($A$4,$A$5+$A$3-1,CI8),2),Auxiliar!$D$1:$E$7,2,0))</f>
        <v/>
      </c>
      <c r="CJ9" s="30" t="str">
        <f>IF(CJ$8="","",VLOOKUP(WEEKDAY(DATE($A$4,$A$5+$A$3-1,CJ8),2),Auxiliar!$D$1:$E$7,2,0))</f>
        <v/>
      </c>
      <c r="CK9" s="30" t="str">
        <f>IF(CK$8="","",VLOOKUP(WEEKDAY(DATE($A$4,$A$5+$A$3-1,CK8),2),Auxiliar!$D$1:$E$7,2,0))</f>
        <v/>
      </c>
      <c r="CL9" s="30" t="str">
        <f>IF(CL$8="","",VLOOKUP(WEEKDAY(DATE($A$4,$A$5+$A$3-1,CL8),2),Auxiliar!$D$1:$E$7,2,0))</f>
        <v/>
      </c>
      <c r="CM9" s="30" t="str">
        <f>IF(CM$8="","",VLOOKUP(WEEKDAY(DATE($A$4,$A$5+$A$3-1,CM8),2),Auxiliar!$D$1:$E$7,2,0))</f>
        <v/>
      </c>
      <c r="CN9" s="30" t="str">
        <f>IF(CN$8="","",VLOOKUP(WEEKDAY(DATE($A$4,$A$5+$A$3-1,CN8),2),Auxiliar!$D$1:$E$7,2,0))</f>
        <v/>
      </c>
      <c r="CO9" s="30" t="str">
        <f>IF(CO$8="","",VLOOKUP(WEEKDAY(DATE($A$4,$A$5+$A$3-1,CO8),2),Auxiliar!$D$1:$E$7,2,0))</f>
        <v/>
      </c>
      <c r="CP9" s="30" t="str">
        <f>IF(CP$8="","",VLOOKUP(WEEKDAY(DATE($A$4,$A$5+$A$3-1,CP8),2),Auxiliar!$D$1:$E$7,2,0))</f>
        <v/>
      </c>
      <c r="CQ9" s="30" t="str">
        <f>IF(CQ$8="","",VLOOKUP(WEEKDAY(DATE($A$4,$A$5+$A$3-1,CQ8),2),Auxiliar!$D$1:$E$7,2,0))</f>
        <v/>
      </c>
      <c r="CR9" s="30" t="str">
        <f>IF(CR$8="","",VLOOKUP(WEEKDAY(DATE($A$4,$A$5+$A$3-1,CR8),2),Auxiliar!$D$1:$E$7,2,0))</f>
        <v/>
      </c>
      <c r="CS9" s="30" t="str">
        <f>IF(CS$8="","",VLOOKUP(WEEKDAY(DATE($A$4,$A$5+$A$3-1,CS8),2),Auxiliar!$D$1:$E$7,2,0))</f>
        <v/>
      </c>
      <c r="CT9" s="30" t="str">
        <f>IF(CT$8="","",VLOOKUP(WEEKDAY(DATE($A$4,$A$5+$A$3-1,CT8),2),Auxiliar!$D$1:$E$7,2,0))</f>
        <v/>
      </c>
      <c r="CU9" s="30" t="str">
        <f>IF(CU$8="","",VLOOKUP(WEEKDAY(DATE($A$4,$A$5+$A$3-1,CU8),2),Auxiliar!$D$1:$E$7,2,0))</f>
        <v/>
      </c>
      <c r="CV9" s="30" t="str">
        <f>IF(CV$8="","",VLOOKUP(WEEKDAY(DATE($A$4,$A$5+$A$3-1,CV8),2),Auxiliar!$D$1:$E$7,2,0))</f>
        <v/>
      </c>
      <c r="CW9" s="30" t="str">
        <f>IF(CW$8="","",VLOOKUP(WEEKDAY(DATE($A$4,$A$5+$A$3-1,CW8),2),Auxiliar!$D$1:$E$7,2,0))</f>
        <v/>
      </c>
      <c r="CX9" s="30" t="str">
        <f>IF(CX$8="","",VLOOKUP(WEEKDAY(DATE($A$4,$A$5+$A$3-1,CX8),2),Auxiliar!$D$1:$E$7,2,0))</f>
        <v/>
      </c>
      <c r="CY9" s="30" t="str">
        <f>IF(CY$8="","",VLOOKUP(WEEKDAY(DATE($A$4,$A$5+$A$3-1,CY8),2),Auxiliar!$D$1:$E$7,2,0))</f>
        <v/>
      </c>
      <c r="CZ9" s="30" t="str">
        <f>IF(CZ$8="","",VLOOKUP(WEEKDAY(DATE($A$4,$A$5+$A$3-1,CZ8),2),Auxiliar!$D$1:$E$7,2,0))</f>
        <v/>
      </c>
      <c r="DA9" s="30" t="str">
        <f>IF(DA$8="","",VLOOKUP(WEEKDAY(DATE($A$4,$A$5+$A$3-1,DA8),2),Auxiliar!$D$1:$E$7,2,0))</f>
        <v/>
      </c>
      <c r="DB9" s="30" t="str">
        <f>IF(DB$8="","",VLOOKUP(WEEKDAY(DATE($A$4,$A$5+$A$3-1,DB8),2),Auxiliar!$D$1:$E$7,2,0))</f>
        <v/>
      </c>
      <c r="DC9" s="30" t="str">
        <f>IF(DC$8="","",VLOOKUP(WEEKDAY(DATE($A$4,$A$5+$A$3-1,DC8),2),Auxiliar!$D$1:$E$7,2,0))</f>
        <v/>
      </c>
      <c r="DD9" s="30" t="str">
        <f>IF(DD$8="","",VLOOKUP(WEEKDAY(DATE($A$4,$A$5+$A$3-1,DD8),2),Auxiliar!$D$1:$E$7,2,0))</f>
        <v/>
      </c>
      <c r="DE9" s="30" t="str">
        <f>IF(DE$8="","",VLOOKUP(WEEKDAY(DATE($A$4,$A$5+$A$3-1,DE8),2),Auxiliar!$D$1:$E$7,2,0))</f>
        <v/>
      </c>
      <c r="DF9" s="30" t="str">
        <f>IF(DF$8="","",VLOOKUP(WEEKDAY(DATE($A$4,$A$5+$A$3-1,DF8),2),Auxiliar!$D$1:$E$7,2,0))</f>
        <v/>
      </c>
      <c r="DG9" s="30" t="str">
        <f>IF(DG$8="","",VLOOKUP(WEEKDAY(DATE($A$4,$A$5+$A$3-1,DG8),2),Auxiliar!$D$1:$E$7,2,0))</f>
        <v/>
      </c>
      <c r="DH9" s="30" t="str">
        <f>IF(DH$8="","",VLOOKUP(WEEKDAY(DATE($A$4,$A$5+$A$3-1,DH8),2),Auxiliar!$D$1:$E$7,2,0))</f>
        <v/>
      </c>
      <c r="DI9" s="30" t="str">
        <f>IF(DI$8="","",VLOOKUP(WEEKDAY(DATE($A$4,$A$5+$A$3-1,DI8),2),Auxiliar!$D$1:$E$7,2,0))</f>
        <v/>
      </c>
      <c r="DJ9" s="30" t="str">
        <f>IF(DJ$8="","",VLOOKUP(WEEKDAY(DATE($A$4,$A$5+$A$3-1,DJ8),2),Auxiliar!$D$1:$E$7,2,0))</f>
        <v/>
      </c>
      <c r="DK9" s="30" t="str">
        <f>IF(DK$8="","",VLOOKUP(WEEKDAY(DATE($A$4,$A$5+$A$3-1,DK8),2),Auxiliar!$D$1:$E$7,2,0))</f>
        <v/>
      </c>
      <c r="DL9" s="30" t="str">
        <f>IF(DL$8="","",VLOOKUP(WEEKDAY(DATE($A$4,$A$5+$A$3-1,DL8),2),Auxiliar!$D$1:$E$7,2,0))</f>
        <v/>
      </c>
      <c r="DM9" s="30" t="str">
        <f>IF(DM$8="","",VLOOKUP(WEEKDAY(DATE($A$4,$A$5+$A$3-1,DM8),2),Auxiliar!$D$1:$E$7,2,0))</f>
        <v/>
      </c>
      <c r="DN9" s="30" t="str">
        <f>IF(DN$8="","",VLOOKUP(WEEKDAY(DATE($A$4,$A$5+$A$3-1,DN8),2),Auxiliar!$D$1:$E$7,2,0))</f>
        <v/>
      </c>
      <c r="DO9" s="30" t="str">
        <f>IF(DO$8="","",VLOOKUP(WEEKDAY(DATE($A$4,$A$5+$A$3-1,DO8),2),Auxiliar!$D$1:$E$7,2,0))</f>
        <v/>
      </c>
      <c r="DP9" s="30" t="str">
        <f>IF(DP$8="","",VLOOKUP(WEEKDAY(DATE($A$4,$A$5+$A$3-1,DP8),2),Auxiliar!$D$1:$E$7,2,0))</f>
        <v/>
      </c>
      <c r="DQ9" s="30" t="str">
        <f>IF(DQ$8="","",VLOOKUP(WEEKDAY(DATE($A$4,$A$5+$A$3-1,DQ8),2),Auxiliar!$D$1:$E$7,2,0))</f>
        <v/>
      </c>
      <c r="DR9" s="30" t="str">
        <f>IF(DR$8="","",VLOOKUP(WEEKDAY(DATE($A$4,$A$5+$A$3-1,DR8),2),Auxiliar!$D$1:$E$7,2,0))</f>
        <v/>
      </c>
      <c r="DS9" s="30" t="str">
        <f>IF(DS$8="","",VLOOKUP(WEEKDAY(DATE($A$4,$A$5+$A$3-1,DS8),2),Auxiliar!$D$1:$E$7,2,0))</f>
        <v/>
      </c>
      <c r="DT9" s="30" t="str">
        <f>IF(DT$8="","",VLOOKUP(WEEKDAY(DATE($A$4,$A$5+$A$3-1,DT8),2),Auxiliar!$D$1:$E$7,2,0))</f>
        <v/>
      </c>
      <c r="DU9" s="30" t="str">
        <f>IF(DU$8="","",VLOOKUP(WEEKDAY(DATE($A$4,$A$5+$A$3-1,DU8),2),Auxiliar!$D$1:$E$7,2,0))</f>
        <v/>
      </c>
      <c r="DV9" s="30" t="str">
        <f>IF(DV$8="","",VLOOKUP(WEEKDAY(DATE($A$4,$A$5+$A$3-1,DV8),2),Auxiliar!$D$1:$E$7,2,0))</f>
        <v/>
      </c>
      <c r="DW9" s="30" t="str">
        <f>IF(DW$8="","",VLOOKUP(WEEKDAY(DATE($A$4,$A$5+$A$3-1,DW8),2),Auxiliar!$D$1:$E$7,2,0))</f>
        <v/>
      </c>
      <c r="DX9" s="30" t="str">
        <f>IF(DX$8="","",VLOOKUP(WEEKDAY(DATE($A$4,$A$5+$A$3-1,DX8),2),Auxiliar!$D$1:$E$7,2,0))</f>
        <v/>
      </c>
      <c r="DY9" s="30" t="str">
        <f>IF(DY$8="","",VLOOKUP(WEEKDAY(DATE($A$4,$A$5+$A$3-1,DY8),2),Auxiliar!$D$1:$E$7,2,0))</f>
        <v/>
      </c>
      <c r="DZ9" s="30" t="str">
        <f>IF(DZ$8="","",VLOOKUP(WEEKDAY(DATE($A$4,$A$5+$A$3-1,DZ8),2),Auxiliar!$D$1:$E$7,2,0))</f>
        <v/>
      </c>
      <c r="EA9" s="30" t="str">
        <f>IF(EA$8="","",VLOOKUP(WEEKDAY(DATE($A$4,$A$5+$A$3-1,EA8),2),Auxiliar!$D$1:$E$7,2,0))</f>
        <v/>
      </c>
      <c r="EB9" s="30" t="str">
        <f>IF(EB$8="","",VLOOKUP(WEEKDAY(DATE($A$4,$A$5+$A$3-1,EB8),2),Auxiliar!$D$1:$E$7,2,0))</f>
        <v/>
      </c>
      <c r="EC9" s="30" t="str">
        <f>IF(EC$8="","",VLOOKUP(WEEKDAY(DATE($A$4,$A$5+$A$3-1,EC8),2),Auxiliar!$D$1:$E$7,2,0))</f>
        <v/>
      </c>
      <c r="ED9" s="30" t="str">
        <f>IF(ED$8="","",VLOOKUP(WEEKDAY(DATE($A$4,$A$5+$A$3-1,ED8),2),Auxiliar!$D$1:$E$7,2,0))</f>
        <v/>
      </c>
      <c r="EE9" s="30" t="str">
        <f>IF(EE$8="","",VLOOKUP(WEEKDAY(DATE($A$4,$A$5+$A$3-1,EE8),2),Auxiliar!$D$1:$E$7,2,0))</f>
        <v/>
      </c>
      <c r="EF9" s="30" t="str">
        <f>IF(EF$8="","",VLOOKUP(WEEKDAY(DATE($A$4,$A$5+$A$3-1,EF8),2),Auxiliar!$D$1:$E$7,2,0))</f>
        <v/>
      </c>
      <c r="EG9" s="30" t="str">
        <f>IF(EG$8="","",VLOOKUP(WEEKDAY(DATE($A$4,$A$5+$A$3-1,EG8),2),Auxiliar!$D$1:$E$7,2,0))</f>
        <v/>
      </c>
      <c r="EH9" s="30" t="str">
        <f>IF(EH$8="","",VLOOKUP(WEEKDAY(DATE($A$4,$A$5+$A$3-1,EH8),2),Auxiliar!$D$1:$E$7,2,0))</f>
        <v/>
      </c>
      <c r="EI9" s="30" t="str">
        <f>IF(EI$8="","",VLOOKUP(WEEKDAY(DATE($A$4,$A$5+$A$3-1,EI8),2),Auxiliar!$D$1:$E$7,2,0))</f>
        <v/>
      </c>
      <c r="EJ9" s="30" t="str">
        <f>IF(EJ$8="","",VLOOKUP(WEEKDAY(DATE($A$4,$A$5+$A$3-1,EJ8),2),Auxiliar!$D$1:$E$7,2,0))</f>
        <v/>
      </c>
      <c r="EK9" s="30" t="str">
        <f>IF(EK$8="","",VLOOKUP(WEEKDAY(DATE($A$4,$A$5+$A$3-1,EK8),2),Auxiliar!$D$1:$E$7,2,0))</f>
        <v/>
      </c>
      <c r="EL9" s="30" t="str">
        <f>IF(EL$8="","",VLOOKUP(WEEKDAY(DATE($A$4,$A$5+$A$3-1,EL8),2),Auxiliar!$D$1:$E$7,2,0))</f>
        <v/>
      </c>
      <c r="EM9" s="30" t="str">
        <f>IF(EM$8="","",VLOOKUP(WEEKDAY(DATE($A$4,$A$5+$A$3-1,EM8),2),Auxiliar!$D$1:$E$7,2,0))</f>
        <v/>
      </c>
      <c r="EN9" s="30" t="str">
        <f>IF(EN$8="","",VLOOKUP(WEEKDAY(DATE($A$4,$A$5+$A$3-1,EN8),2),Auxiliar!$D$1:$E$7,2,0))</f>
        <v/>
      </c>
      <c r="EO9" s="30" t="str">
        <f>IF(EO$8="","",VLOOKUP(WEEKDAY(DATE($A$4,$A$5+$A$3-1,EO8),2),Auxiliar!$D$1:$E$7,2,0))</f>
        <v/>
      </c>
      <c r="EP9" s="30" t="str">
        <f>IF(EP$8="","",VLOOKUP(WEEKDAY(DATE($A$4,$A$5+$A$3-1,EP8),2),Auxiliar!$D$1:$E$7,2,0))</f>
        <v/>
      </c>
      <c r="EQ9" s="30" t="str">
        <f>IF(EQ$8="","",VLOOKUP(WEEKDAY(DATE($A$4,$A$5+$A$3-1,EQ8),2),Auxiliar!$D$1:$E$7,2,0))</f>
        <v/>
      </c>
      <c r="ER9" s="30" t="str">
        <f>IF(ER$8="","",VLOOKUP(WEEKDAY(DATE($A$4,$A$5+$A$3-1,ER8),2),Auxiliar!$D$1:$E$7,2,0))</f>
        <v/>
      </c>
      <c r="ES9" s="30" t="str">
        <f>IF(ES$8="","",VLOOKUP(WEEKDAY(DATE($A$4,$A$5+$A$3-1,ES8),2),Auxiliar!$D$1:$E$7,2,0))</f>
        <v/>
      </c>
      <c r="ET9" s="30" t="str">
        <f>IF(ET$8="","",VLOOKUP(WEEKDAY(DATE($A$4,$A$5+$A$3-1,ET8),2),Auxiliar!$D$1:$E$7,2,0))</f>
        <v/>
      </c>
      <c r="EU9" s="30" t="str">
        <f>IF(EU$8="","",VLOOKUP(WEEKDAY(DATE($A$4,$A$5+$A$3-1,EU8),2),Auxiliar!$D$1:$E$7,2,0))</f>
        <v/>
      </c>
      <c r="EV9" s="30" t="str">
        <f>IF(EV$8="","",VLOOKUP(WEEKDAY(DATE($A$4,$A$5+$A$3-1,EV8),2),Auxiliar!$D$1:$E$7,2,0))</f>
        <v/>
      </c>
      <c r="EW9" s="30" t="str">
        <f>IF(EW$8="","",VLOOKUP(WEEKDAY(DATE($A$4,$A$5+$A$3-1,EW8),2),Auxiliar!$D$1:$E$7,2,0))</f>
        <v/>
      </c>
      <c r="EX9" s="30" t="str">
        <f>IF(EX$8="","",VLOOKUP(WEEKDAY(DATE($A$4,$A$5+$A$3-1,EX8),2),Auxiliar!$D$1:$E$7,2,0))</f>
        <v/>
      </c>
      <c r="EY9" s="30" t="str">
        <f>IF(EY$8="","",VLOOKUP(WEEKDAY(DATE($A$4,$A$5+$A$3-1,EY8),2),Auxiliar!$D$1:$E$7,2,0))</f>
        <v/>
      </c>
      <c r="EZ9" s="30" t="str">
        <f>IF(EZ$8="","",VLOOKUP(WEEKDAY(DATE($A$4,$A$5+$A$3-1,EZ8),2),Auxiliar!$D$1:$E$7,2,0))</f>
        <v/>
      </c>
      <c r="FA9" s="30" t="str">
        <f>IF(FA$8="","",VLOOKUP(WEEKDAY(DATE($A$4,$A$5+$A$3-1,FA8),2),Auxiliar!$D$1:$E$7,2,0))</f>
        <v/>
      </c>
      <c r="FB9" s="30" t="str">
        <f>IF(FB$8="","",VLOOKUP(WEEKDAY(DATE($A$4,$A$5+$A$3-1,FB8),2),Auxiliar!$D$1:$E$7,2,0))</f>
        <v/>
      </c>
      <c r="FC9" s="30" t="str">
        <f>IF(FC$8="","",VLOOKUP(WEEKDAY(DATE($A$4,$A$5+$A$3-1,FC8),2),Auxiliar!$D$1:$E$7,2,0))</f>
        <v/>
      </c>
      <c r="FD9" s="30" t="str">
        <f>IF(FD$8="","",VLOOKUP(WEEKDAY(DATE($A$4,$A$5+$A$3-1,FD8),2),Auxiliar!$D$1:$E$7,2,0))</f>
        <v/>
      </c>
      <c r="FE9" s="30" t="str">
        <f>IF(FE$8="","",VLOOKUP(WEEKDAY(DATE($A$4,$A$5+$A$3-1,FE8),2),Auxiliar!$D$1:$E$7,2,0))</f>
        <v/>
      </c>
      <c r="FF9" s="30" t="str">
        <f>IF(FF$8="","",VLOOKUP(WEEKDAY(DATE($A$4,$A$5+$A$3-1,FF8),2),Auxiliar!$D$1:$E$7,2,0))</f>
        <v/>
      </c>
      <c r="FG9" s="30" t="str">
        <f>IF(FG$8="","",VLOOKUP(WEEKDAY(DATE($A$4,$A$5+$A$3-1,FG8),2),Auxiliar!$D$1:$E$7,2,0))</f>
        <v/>
      </c>
      <c r="FH9" s="30" t="str">
        <f>IF(FH$8="","",VLOOKUP(WEEKDAY(DATE($A$4,$A$5+$A$3-1,FH8),2),Auxiliar!$D$1:$E$7,2,0))</f>
        <v/>
      </c>
      <c r="FI9" s="30" t="str">
        <f>IF(FI$8="","",VLOOKUP(WEEKDAY(DATE($A$4,$A$5+$A$3-1,FI8),2),Auxiliar!$D$1:$E$7,2,0))</f>
        <v/>
      </c>
      <c r="FJ9" s="30" t="str">
        <f>IF(FJ$8="","",VLOOKUP(WEEKDAY(DATE($A$4,$A$5+$A$3-1,FJ8),2),Auxiliar!$D$1:$E$7,2,0))</f>
        <v/>
      </c>
      <c r="FK9" s="30" t="str">
        <f>IF(FK$8="","",VLOOKUP(WEEKDAY(DATE($A$4,$A$5+$A$3-1,FK8),2),Auxiliar!$D$1:$E$7,2,0))</f>
        <v/>
      </c>
      <c r="FL9" s="30" t="str">
        <f>IF(FL$8="","",VLOOKUP(WEEKDAY(DATE($A$4,$A$5+$A$3-1,FL8),2),Auxiliar!$D$1:$E$7,2,0))</f>
        <v/>
      </c>
      <c r="FM9" s="30" t="str">
        <f>IF(FM$8="","",VLOOKUP(WEEKDAY(DATE($A$4,$A$5+$A$3-1,FM8),2),Auxiliar!$D$1:$E$7,2,0))</f>
        <v/>
      </c>
      <c r="FN9" s="30" t="str">
        <f>IF(FN$8="","",VLOOKUP(WEEKDAY(DATE($A$4,$A$5+$A$3-1,FN8),2),Auxiliar!$D$1:$E$7,2,0))</f>
        <v/>
      </c>
      <c r="FO9" s="30" t="str">
        <f>IF(FO$8="","",VLOOKUP(WEEKDAY(DATE($A$4,$A$5+$A$3-1,FO8),2),Auxiliar!$D$1:$E$7,2,0))</f>
        <v/>
      </c>
      <c r="FP9" s="30" t="str">
        <f>IF(FP$8="","",VLOOKUP(WEEKDAY(DATE($A$4,$A$5+$A$3-1,FP8),2),Auxiliar!$D$1:$E$7,2,0))</f>
        <v/>
      </c>
      <c r="FQ9" s="30" t="str">
        <f>IF(FQ$8="","",VLOOKUP(WEEKDAY(DATE($A$4,$A$5+$A$3-1,FQ8),2),Auxiliar!$D$1:$E$7,2,0))</f>
        <v/>
      </c>
      <c r="FR9" s="30" t="str">
        <f>IF(FR$8="","",VLOOKUP(WEEKDAY(DATE($A$4,$A$5+$A$3-1,FR8),2),Auxiliar!$D$1:$E$7,2,0))</f>
        <v/>
      </c>
      <c r="FS9" s="30" t="str">
        <f>IF(FS$8="","",VLOOKUP(WEEKDAY(DATE($A$4,$A$5+$A$3-1,FS8),2),Auxiliar!$D$1:$E$7,2,0))</f>
        <v/>
      </c>
      <c r="FT9" s="30" t="str">
        <f>IF(FT$8="","",VLOOKUP(WEEKDAY(DATE($A$4,$A$5+$A$3-1,FT8),2),Auxiliar!$D$1:$E$7,2,0))</f>
        <v/>
      </c>
      <c r="FU9" s="30" t="str">
        <f>IF(FU$8="","",VLOOKUP(WEEKDAY(DATE($A$4,$A$5+$A$3-1,FU8),2),Auxiliar!$D$1:$E$7,2,0))</f>
        <v/>
      </c>
      <c r="FV9" s="30" t="str">
        <f>IF(FV$8="","",VLOOKUP(WEEKDAY(DATE($A$4,$A$5+$A$3-1,FV8),2),Auxiliar!$D$1:$E$7,2,0))</f>
        <v/>
      </c>
      <c r="FW9" s="30" t="str">
        <f>IF(FW$8="","",VLOOKUP(WEEKDAY(DATE($A$4,$A$5+$A$3-1,FW8),2),Auxiliar!$D$1:$E$7,2,0))</f>
        <v/>
      </c>
      <c r="FX9" s="30" t="str">
        <f>IF(FX$8="","",VLOOKUP(WEEKDAY(DATE($A$4,$A$5+$A$3-1,FX8),2),Auxiliar!$D$1:$E$7,2,0))</f>
        <v/>
      </c>
      <c r="FY9" s="30" t="str">
        <f>IF(FY$8="","",VLOOKUP(WEEKDAY(DATE($A$4,$A$5+$A$3-1,FY8),2),Auxiliar!$D$1:$E$7,2,0))</f>
        <v/>
      </c>
      <c r="FZ9" s="30" t="str">
        <f>IF(FZ$8="","",VLOOKUP(WEEKDAY(DATE($A$4,$A$5+$A$3-1,FZ8),2),Auxiliar!$D$1:$E$7,2,0))</f>
        <v/>
      </c>
      <c r="GA9" s="30" t="str">
        <f>IF(GA$8="","",VLOOKUP(WEEKDAY(DATE($A$4,$A$5+$A$3-1,GA8),2),Auxiliar!$D$1:$E$7,2,0))</f>
        <v/>
      </c>
      <c r="GB9" s="30" t="str">
        <f>IF(GB$8="","",VLOOKUP(WEEKDAY(DATE($A$4,$A$5+$A$3-1,GB8),2),Auxiliar!$D$1:$E$7,2,0))</f>
        <v/>
      </c>
      <c r="GC9" s="30" t="str">
        <f>IF(GC$8="","",VLOOKUP(WEEKDAY(DATE($A$4,$A$5+$A$3-1,GC8),2),Auxiliar!$D$1:$E$7,2,0))</f>
        <v/>
      </c>
      <c r="GD9" s="30" t="str">
        <f>IF(GD$8="","",VLOOKUP(WEEKDAY(DATE($A$4,$A$5+$A$3-1,GD8),2),Auxiliar!$D$1:$E$7,2,0))</f>
        <v/>
      </c>
      <c r="GE9" s="30" t="str">
        <f>IF(GE$8="","",VLOOKUP(WEEKDAY(DATE($A$4,$A$5+$A$3-1,GE8),2),Auxiliar!$D$1:$E$7,2,0))</f>
        <v/>
      </c>
      <c r="GF9" s="30" t="str">
        <f>IF(GF$8="","",VLOOKUP(WEEKDAY(DATE($A$4,$A$5+$A$3-1,GF8),2),Auxiliar!$D$1:$E$7,2,0))</f>
        <v/>
      </c>
      <c r="GG9" s="30" t="str">
        <f>IF(GG$8="","",VLOOKUP(WEEKDAY(DATE($A$4,$A$5+$A$3-1,GG8),2),Auxiliar!$D$1:$E$7,2,0))</f>
        <v/>
      </c>
      <c r="GH9" s="30" t="str">
        <f>IF(GH$8="","",VLOOKUP(WEEKDAY(DATE($A$4,$A$5+$A$3-1,GH8),2),Auxiliar!$D$1:$E$7,2,0))</f>
        <v/>
      </c>
      <c r="GI9" s="30" t="str">
        <f>IF(GI$8="","",VLOOKUP(WEEKDAY(DATE($A$4,$A$5+$A$3-1,GI8),2),Auxiliar!$D$1:$E$7,2,0))</f>
        <v/>
      </c>
      <c r="GJ9" s="30" t="str">
        <f>IF(GJ$8="","",VLOOKUP(WEEKDAY(DATE($A$4,$A$5+$A$3-1,GJ8),2),Auxiliar!$D$1:$E$7,2,0))</f>
        <v/>
      </c>
      <c r="GK9" s="30" t="str">
        <f>IF(GK$8="","",VLOOKUP(WEEKDAY(DATE($A$4,$A$5+$A$3-1,GK8),2),Auxiliar!$D$1:$E$7,2,0))</f>
        <v/>
      </c>
      <c r="GL9" s="30" t="str">
        <f>IF(GL$8="","",VLOOKUP(WEEKDAY(DATE($A$4,$A$5+$A$3-1,GL8),2),Auxiliar!$D$1:$E$7,2,0))</f>
        <v/>
      </c>
      <c r="GM9" s="30" t="str">
        <f>IF(GM$8="","",VLOOKUP(WEEKDAY(DATE($A$4,$A$5+$A$3-1,GM8),2),Auxiliar!$D$1:$E$7,2,0))</f>
        <v/>
      </c>
      <c r="GN9" s="30" t="str">
        <f>IF(GN$8="","",VLOOKUP(WEEKDAY(DATE($A$4,$A$5+$A$3-1,GN8),2),Auxiliar!$D$1:$E$7,2,0))</f>
        <v/>
      </c>
      <c r="GO9" s="30" t="str">
        <f>IF(GO$8="","",VLOOKUP(WEEKDAY(DATE($A$4,$A$5+$A$3-1,GO8),2),Auxiliar!$D$1:$E$7,2,0))</f>
        <v/>
      </c>
      <c r="GP9" s="30" t="str">
        <f>IF(GP$8="","",VLOOKUP(WEEKDAY(DATE($A$4,$A$5+$A$3-1,GP8),2),Auxiliar!$D$1:$E$7,2,0))</f>
        <v/>
      </c>
      <c r="GQ9" s="30" t="str">
        <f>IF(GQ$8="","",VLOOKUP(WEEKDAY(DATE($A$4,$A$5+$A$3-1,GQ8),2),Auxiliar!$D$1:$E$7,2,0))</f>
        <v/>
      </c>
      <c r="GR9" s="30" t="str">
        <f>IF(GR$8="","",VLOOKUP(WEEKDAY(DATE($A$4,$A$5+$A$3-1,GR8),2),Auxiliar!$D$1:$E$7,2,0))</f>
        <v/>
      </c>
      <c r="GS9" s="30" t="str">
        <f>IF(GS$8="","",VLOOKUP(WEEKDAY(DATE($A$4,$A$5+$A$3-1,GS8),2),Auxiliar!$D$1:$E$7,2,0))</f>
        <v/>
      </c>
      <c r="GT9" s="30" t="str">
        <f>IF(GT$8="","",VLOOKUP(WEEKDAY(DATE($A$4,$A$5+$A$3-1,GT8),2),Auxiliar!$D$1:$E$7,2,0))</f>
        <v/>
      </c>
      <c r="GU9" s="30" t="str">
        <f>IF(GU$8="","",VLOOKUP(WEEKDAY(DATE($A$4,$A$5+$A$3-1,GU8),2),Auxiliar!$D$1:$E$7,2,0))</f>
        <v/>
      </c>
      <c r="GV9" s="30" t="str">
        <f>IF(GV$8="","",VLOOKUP(WEEKDAY(DATE($A$4,$A$5+$A$3-1,GV8),2),Auxiliar!$D$1:$E$7,2,0))</f>
        <v/>
      </c>
      <c r="GW9" s="30" t="str">
        <f>IF(GW$8="","",VLOOKUP(WEEKDAY(DATE($A$4,$A$5+$A$3-1,GW8),2),Auxiliar!$D$1:$E$7,2,0))</f>
        <v/>
      </c>
      <c r="GX9" s="30" t="str">
        <f>IF(GX$8="","",VLOOKUP(WEEKDAY(DATE($A$4,$A$5+$A$3-1,GX8),2),Auxiliar!$D$1:$E$7,2,0))</f>
        <v/>
      </c>
      <c r="GY9" s="30" t="str">
        <f>IF(GY$8="","",VLOOKUP(WEEKDAY(DATE($A$4,$A$5+$A$3-1,GY8),2),Auxiliar!$D$1:$E$7,2,0))</f>
        <v/>
      </c>
      <c r="GZ9" s="30" t="str">
        <f>IF(GZ$8="","",VLOOKUP(WEEKDAY(DATE($A$4,$A$5+$A$3-1,GZ8),2),Auxiliar!$D$1:$E$7,2,0))</f>
        <v/>
      </c>
      <c r="HA9" s="30" t="str">
        <f>IF(HA$8="","",VLOOKUP(WEEKDAY(DATE($A$4,$A$5+$A$3-1,HA8),2),Auxiliar!$D$1:$E$7,2,0))</f>
        <v/>
      </c>
      <c r="HB9" s="30" t="str">
        <f>IF(HB$8="","",VLOOKUP(WEEKDAY(DATE($A$4,$A$5+$A$3-1,HB8),2),Auxiliar!$D$1:$E$7,2,0))</f>
        <v/>
      </c>
      <c r="HC9" s="30" t="str">
        <f>IF(HC$8="","",VLOOKUP(WEEKDAY(DATE($A$4,$A$5+$A$3-1,HC8),2),Auxiliar!$D$1:$E$7,2,0))</f>
        <v/>
      </c>
      <c r="HD9" s="30" t="str">
        <f>IF(HD$8="","",VLOOKUP(WEEKDAY(DATE($A$4,$A$5+$A$3-1,HD8),2),Auxiliar!$D$1:$E$7,2,0))</f>
        <v/>
      </c>
      <c r="HE9" s="30" t="str">
        <f>IF(HE$8="","",VLOOKUP(WEEKDAY(DATE($A$4,$A$5+$A$3-1,HE8),2),Auxiliar!$D$1:$E$7,2,0))</f>
        <v/>
      </c>
      <c r="HF9" s="30" t="str">
        <f>IF(HF$8="","",VLOOKUP(WEEKDAY(DATE($A$4,$A$5+$A$3-1,HF8),2),Auxiliar!$D$1:$E$7,2,0))</f>
        <v/>
      </c>
      <c r="HG9" s="30" t="str">
        <f>IF(HG$8="","",VLOOKUP(WEEKDAY(DATE($A$4,$A$5+$A$3-1,HG8),2),Auxiliar!$D$1:$E$7,2,0))</f>
        <v/>
      </c>
      <c r="HH9" s="30" t="str">
        <f>IF(HH$8="","",VLOOKUP(WEEKDAY(DATE($A$4,$A$5+$A$3-1,HH8),2),Auxiliar!$D$1:$E$7,2,0))</f>
        <v/>
      </c>
      <c r="HI9" s="30" t="str">
        <f>IF(HI$8="","",VLOOKUP(WEEKDAY(DATE($A$4,$A$5+$A$3-1,HI8),2),Auxiliar!$D$1:$E$7,2,0))</f>
        <v/>
      </c>
      <c r="HJ9" s="30" t="str">
        <f>IF(HJ$8="","",VLOOKUP(WEEKDAY(DATE($A$4,$A$5+$A$3-1,HJ8),2),Auxiliar!$D$1:$E$7,2,0))</f>
        <v/>
      </c>
      <c r="HK9" s="30" t="str">
        <f>IF(HK$8="","",VLOOKUP(WEEKDAY(DATE($A$4,$A$5+$A$3-1,HK8),2),Auxiliar!$D$1:$E$7,2,0))</f>
        <v/>
      </c>
      <c r="HL9" s="30" t="str">
        <f>IF(HL$8="","",VLOOKUP(WEEKDAY(DATE($A$4,$A$5+$A$3-1,HL8),2),Auxiliar!$D$1:$E$7,2,0))</f>
        <v/>
      </c>
      <c r="HM9" s="30" t="str">
        <f>IF(HM$8="","",VLOOKUP(WEEKDAY(DATE($A$4,$A$5+$A$3-1,HM8),2),Auxiliar!$D$1:$E$7,2,0))</f>
        <v/>
      </c>
      <c r="HN9" s="30" t="str">
        <f>IF(HN$8="","",VLOOKUP(WEEKDAY(DATE($A$4,$A$5+$A$3-1,HN8),2),Auxiliar!$D$1:$E$7,2,0))</f>
        <v/>
      </c>
      <c r="HO9" s="30" t="str">
        <f>IF(HO$8="","",VLOOKUP(WEEKDAY(DATE($A$4,$A$5+$A$3-1,HO8),2),Auxiliar!$D$1:$E$7,2,0))</f>
        <v/>
      </c>
      <c r="HP9" s="30" t="str">
        <f>IF(HP$8="","",VLOOKUP(WEEKDAY(DATE($A$4,$A$5+$A$3-1,HP8),2),Auxiliar!$D$1:$E$7,2,0))</f>
        <v/>
      </c>
      <c r="HQ9" s="30" t="str">
        <f>IF(HQ$8="","",VLOOKUP(WEEKDAY(DATE($A$4,$A$5+$A$3-1,HQ8),2),Auxiliar!$D$1:$E$7,2,0))</f>
        <v/>
      </c>
      <c r="HR9" s="30" t="str">
        <f>IF(HR$8="","",VLOOKUP(WEEKDAY(DATE($A$4,$A$5+$A$3-1,HR8),2),Auxiliar!$D$1:$E$7,2,0))</f>
        <v/>
      </c>
      <c r="HS9" s="30" t="str">
        <f>IF(HS$8="","",VLOOKUP(WEEKDAY(DATE($A$4,$A$5+$A$3-1,HS8),2),Auxiliar!$D$1:$E$7,2,0))</f>
        <v/>
      </c>
      <c r="HT9" s="30" t="str">
        <f>IF(HT$8="","",VLOOKUP(WEEKDAY(DATE($A$4,$A$5+$A$3-1,HT8),2),Auxiliar!$D$1:$E$7,2,0))</f>
        <v/>
      </c>
      <c r="HU9" s="30" t="str">
        <f>IF(HU$8="","",VLOOKUP(WEEKDAY(DATE($A$4,$A$5+$A$3-1,HU8),2),Auxiliar!$D$1:$E$7,2,0))</f>
        <v/>
      </c>
      <c r="HV9" s="30" t="str">
        <f>IF(HV$8="","",VLOOKUP(WEEKDAY(DATE($A$4,$A$5+$A$3-1,HV8),2),Auxiliar!$D$1:$E$7,2,0))</f>
        <v/>
      </c>
      <c r="HW9" s="30" t="str">
        <f>IF(HW$8="","",VLOOKUP(WEEKDAY(DATE($A$4,$A$5+$A$3-1,HW8),2),Auxiliar!$D$1:$E$7,2,0))</f>
        <v/>
      </c>
      <c r="HX9" s="30" t="str">
        <f>IF(HX$8="","",VLOOKUP(WEEKDAY(DATE($A$4,$A$5+$A$3-1,HX8),2),Auxiliar!$D$1:$E$7,2,0))</f>
        <v/>
      </c>
      <c r="HY9" s="30" t="str">
        <f>IF(HY$8="","",VLOOKUP(WEEKDAY(DATE($A$4,$A$5+$A$3-1,HY8),2),Auxiliar!$D$1:$E$7,2,0))</f>
        <v/>
      </c>
      <c r="HZ9" s="30" t="str">
        <f>IF(HZ$8="","",VLOOKUP(WEEKDAY(DATE($A$4,$A$5+$A$3-1,HZ8),2),Auxiliar!$D$1:$E$7,2,0))</f>
        <v/>
      </c>
      <c r="IA9" s="30" t="str">
        <f>IF(IA$8="","",VLOOKUP(WEEKDAY(DATE($A$4,$A$5+$A$3-1,IA8),2),Auxiliar!$D$1:$E$7,2,0))</f>
        <v/>
      </c>
      <c r="IB9" s="30" t="str">
        <f>IF(IB$8="","",VLOOKUP(WEEKDAY(DATE($A$4,$A$5+$A$3-1,IB8),2),Auxiliar!$D$1:$E$7,2,0))</f>
        <v/>
      </c>
      <c r="IC9" s="30" t="str">
        <f>IF(IC$8="","",VLOOKUP(WEEKDAY(DATE($A$4,$A$5+$A$3-1,IC8),2),Auxiliar!$D$1:$E$7,2,0))</f>
        <v/>
      </c>
      <c r="ID9" s="30" t="str">
        <f>IF(ID$8="","",VLOOKUP(WEEKDAY(DATE($A$4,$A$5+$A$3-1,ID8),2),Auxiliar!$D$1:$E$7,2,0))</f>
        <v/>
      </c>
      <c r="IE9" s="30" t="str">
        <f>IF(IE$8="","",VLOOKUP(WEEKDAY(DATE($A$4,$A$5+$A$3-1,IE8),2),Auxiliar!$D$1:$E$7,2,0))</f>
        <v/>
      </c>
      <c r="IF9" s="30" t="str">
        <f>IF(IF$8="","",VLOOKUP(WEEKDAY(DATE($A$4,$A$5+$A$3-1,IF8),2),Auxiliar!$D$1:$E$7,2,0))</f>
        <v/>
      </c>
      <c r="IG9" s="30" t="str">
        <f>IF(IG$8="","",VLOOKUP(WEEKDAY(DATE($A$4,$A$5+$A$3-1,IG8),2),Auxiliar!$D$1:$E$7,2,0))</f>
        <v/>
      </c>
      <c r="IH9" s="30" t="str">
        <f>IF(IH$8="","",VLOOKUP(WEEKDAY(DATE($A$4,$A$5+$A$3-1,IH8),2),Auxiliar!$D$1:$E$7,2,0))</f>
        <v/>
      </c>
      <c r="II9" s="30" t="str">
        <f>IF(II$8="","",VLOOKUP(WEEKDAY(DATE($A$4,$A$5+$A$3-1,II8),2),Auxiliar!$D$1:$E$7,2,0))</f>
        <v/>
      </c>
      <c r="IJ9" s="30" t="str">
        <f>IF(IJ$8="","",VLOOKUP(WEEKDAY(DATE($A$4,$A$5+$A$3-1,IJ8),2),Auxiliar!$D$1:$E$7,2,0))</f>
        <v/>
      </c>
      <c r="IK9" s="30" t="str">
        <f>IF(IK$8="","",VLOOKUP(WEEKDAY(DATE($A$4,$A$5+$A$3-1,IK8),2),Auxiliar!$D$1:$E$7,2,0))</f>
        <v/>
      </c>
      <c r="IL9" s="30" t="str">
        <f>IF(IL$8="","",VLOOKUP(WEEKDAY(DATE($A$4,$A$5+$A$3-1,IL8),2),Auxiliar!$D$1:$E$7,2,0))</f>
        <v/>
      </c>
      <c r="IM9" s="30" t="str">
        <f>IF(IM$8="","",VLOOKUP(WEEKDAY(DATE($A$4,$A$5+$A$3-1,IM8),2),Auxiliar!$D$1:$E$7,2,0))</f>
        <v/>
      </c>
      <c r="IN9" s="30" t="str">
        <f>IF(IN$8="","",VLOOKUP(WEEKDAY(DATE($A$4,$A$5+$A$3-1,IN8),2),Auxiliar!$D$1:$E$7,2,0))</f>
        <v/>
      </c>
      <c r="IO9" s="30" t="str">
        <f>IF(IO$8="","",VLOOKUP(WEEKDAY(DATE($A$4,$A$5+$A$3-1,IO8),2),Auxiliar!$D$1:$E$7,2,0))</f>
        <v/>
      </c>
      <c r="IP9" s="30" t="str">
        <f>IF(IP$8="","",VLOOKUP(WEEKDAY(DATE($A$4,$A$5+$A$3-1,IP8),2),Auxiliar!$D$1:$E$7,2,0))</f>
        <v/>
      </c>
      <c r="IQ9" s="30" t="str">
        <f>IF(IQ$8="","",VLOOKUP(WEEKDAY(DATE($A$4,$A$5+$A$3-1,IQ8),2),Auxiliar!$D$1:$E$7,2,0))</f>
        <v/>
      </c>
      <c r="IR9" s="30" t="str">
        <f>IF(IR$8="","",VLOOKUP(WEEKDAY(DATE($A$4,$A$5+$A$3-1,IR8),2),Auxiliar!$D$1:$E$7,2,0))</f>
        <v/>
      </c>
      <c r="IS9" s="30" t="str">
        <f>IF(IS$8="","",VLOOKUP(WEEKDAY(DATE($A$4,$A$5+$A$3-1,IS8),2),Auxiliar!$D$1:$E$7,2,0))</f>
        <v/>
      </c>
      <c r="IT9" s="30" t="str">
        <f>IF(IT$8="","",VLOOKUP(WEEKDAY(DATE($A$4,$A$5+$A$3-1,IT8),2),Auxiliar!$D$1:$E$7,2,0))</f>
        <v/>
      </c>
      <c r="IU9" s="30" t="str">
        <f>IF(IU$8="","",VLOOKUP(WEEKDAY(DATE($A$4,$A$5+$A$3-1,IU8),2),Auxiliar!$D$1:$E$7,2,0))</f>
        <v/>
      </c>
      <c r="IV9" s="30" t="str">
        <f>IF(IV$8="","",VLOOKUP(WEEKDAY(DATE($A$4,$A$5+$A$3-1,IV8),2),Auxiliar!$D$1:$E$7,2,0))</f>
        <v/>
      </c>
      <c r="IW9" s="30" t="str">
        <f>IF(IW$8="","",VLOOKUP(WEEKDAY(DATE($A$4,$A$5+$A$3-1,IW8),2),Auxiliar!$D$1:$E$7,2,0))</f>
        <v/>
      </c>
      <c r="IX9" s="30" t="str">
        <f>IF(IX$8="","",VLOOKUP(WEEKDAY(DATE($A$4,$A$5+$A$3-1,IX8),2),Auxiliar!$D$1:$E$7,2,0))</f>
        <v/>
      </c>
      <c r="IY9" s="30" t="str">
        <f>IF(IY$8="","",VLOOKUP(WEEKDAY(DATE($A$4,$A$5+$A$3-1,IY8),2),Auxiliar!$D$1:$E$7,2,0))</f>
        <v/>
      </c>
      <c r="IZ9" s="30" t="str">
        <f>IF(IZ$8="","",VLOOKUP(WEEKDAY(DATE($A$4,$A$5+$A$3-1,IZ8),2),Auxiliar!$D$1:$E$7,2,0))</f>
        <v/>
      </c>
      <c r="JA9" s="30" t="str">
        <f>IF(JA$8="","",VLOOKUP(WEEKDAY(DATE($A$4,$A$5+$A$3-1,JA8),2),Auxiliar!$D$1:$E$7,2,0))</f>
        <v/>
      </c>
      <c r="JB9" s="30" t="str">
        <f>IF(JB$8="","",VLOOKUP(WEEKDAY(DATE($A$4,$A$5+$A$3-1,JB8),2),Auxiliar!$D$1:$E$7,2,0))</f>
        <v/>
      </c>
      <c r="JC9" s="30" t="str">
        <f>IF(JC$8="","",VLOOKUP(WEEKDAY(DATE($A$4,$A$5+$A$3-1,JC8),2),Auxiliar!$D$1:$E$7,2,0))</f>
        <v/>
      </c>
      <c r="JD9" s="30" t="str">
        <f>IF(JD$8="","",VLOOKUP(WEEKDAY(DATE($A$4,$A$5+$A$3-1,JD8),2),Auxiliar!$D$1:$E$7,2,0))</f>
        <v/>
      </c>
      <c r="JE9" s="30" t="str">
        <f>IF(JE$8="","",VLOOKUP(WEEKDAY(DATE($A$4,$A$5+$A$3-1,JE8),2),Auxiliar!$D$1:$E$7,2,0))</f>
        <v/>
      </c>
      <c r="JF9" s="30" t="str">
        <f>IF(JF$8="","",VLOOKUP(WEEKDAY(DATE($A$4,$A$5+$A$3-1,JF8),2),Auxiliar!$D$1:$E$7,2,0))</f>
        <v/>
      </c>
      <c r="JG9" s="30" t="str">
        <f>IF(JG$8="","",VLOOKUP(WEEKDAY(DATE($A$4,$A$5+$A$3-1,JG8),2),Auxiliar!$D$1:$E$7,2,0))</f>
        <v/>
      </c>
      <c r="JH9" s="30" t="str">
        <f>IF(JH$8="","",VLOOKUP(WEEKDAY(DATE($A$4,$A$5+$A$3-1,JH8),2),Auxiliar!$D$1:$E$7,2,0))</f>
        <v/>
      </c>
      <c r="JI9" s="30" t="str">
        <f>IF(JI$8="","",VLOOKUP(WEEKDAY(DATE($A$4,$A$5+$A$3-1,JI8),2),Auxiliar!$D$1:$E$7,2,0))</f>
        <v/>
      </c>
      <c r="JJ9" s="30" t="str">
        <f>IF(JJ$8="","",VLOOKUP(WEEKDAY(DATE($A$4,$A$5+$A$3-1,JJ8),2),Auxiliar!$D$1:$E$7,2,0))</f>
        <v/>
      </c>
      <c r="JK9" s="30" t="str">
        <f>IF(JK$8="","",VLOOKUP(WEEKDAY(DATE($A$4,$A$5+$A$3-1,JK8),2),Auxiliar!$D$1:$E$7,2,0))</f>
        <v/>
      </c>
      <c r="JL9" s="30" t="str">
        <f>IF(JL$8="","",VLOOKUP(WEEKDAY(DATE($A$4,$A$5+$A$3-1,JL8),2),Auxiliar!$D$1:$E$7,2,0))</f>
        <v/>
      </c>
      <c r="JM9" s="30" t="str">
        <f>IF(JM$8="","",VLOOKUP(WEEKDAY(DATE($A$4,$A$5+$A$3-1,JM8),2),Auxiliar!$D$1:$E$7,2,0))</f>
        <v/>
      </c>
      <c r="JN9" s="30" t="str">
        <f>IF(JN$8="","",VLOOKUP(WEEKDAY(DATE($A$4,$A$5+$A$3-1,JN8),2),Auxiliar!$D$1:$E$7,2,0))</f>
        <v/>
      </c>
      <c r="JO9" s="30" t="str">
        <f>IF(JO$8="","",VLOOKUP(WEEKDAY(DATE($A$4,$A$5+$A$3-1,JO8),2),Auxiliar!$D$1:$E$7,2,0))</f>
        <v/>
      </c>
      <c r="JP9" s="30" t="str">
        <f>IF(JP$8="","",VLOOKUP(WEEKDAY(DATE($A$4,$A$5+$A$3-1,JP8),2),Auxiliar!$D$1:$E$7,2,0))</f>
        <v/>
      </c>
      <c r="JQ9" s="30" t="str">
        <f>IF(JQ$8="","",VLOOKUP(WEEKDAY(DATE($A$4,$A$5+$A$3-1,JQ8),2),Auxiliar!$D$1:$E$7,2,0))</f>
        <v/>
      </c>
      <c r="JR9" s="30" t="str">
        <f>IF(JR$8="","",VLOOKUP(WEEKDAY(DATE($A$4,$A$5+$A$3-1,JR8),2),Auxiliar!$D$1:$E$7,2,0))</f>
        <v/>
      </c>
      <c r="JS9" s="30" t="str">
        <f>IF(JS$8="","",VLOOKUP(WEEKDAY(DATE($A$4,$A$5+$A$3-1,JS8),2),Auxiliar!$D$1:$E$7,2,0))</f>
        <v/>
      </c>
      <c r="JT9" s="30" t="str">
        <f>IF(JT$8="","",VLOOKUP(WEEKDAY(DATE($A$4,$A$5+$A$3-1,JT8),2),Auxiliar!$D$1:$E$7,2,0))</f>
        <v/>
      </c>
      <c r="JU9" s="30" t="str">
        <f>IF(JU$8="","",VLOOKUP(WEEKDAY(DATE($A$4,$A$5+$A$3-1,JU8),2),Auxiliar!$D$1:$E$7,2,0))</f>
        <v/>
      </c>
      <c r="JV9" s="30" t="str">
        <f>IF(JV$8="","",VLOOKUP(WEEKDAY(DATE($A$4,$A$5+$A$3-1,JV8),2),Auxiliar!$D$1:$E$7,2,0))</f>
        <v/>
      </c>
      <c r="JW9" s="30" t="str">
        <f>IF(JW$8="","",VLOOKUP(WEEKDAY(DATE($A$4,$A$5+$A$3-1,JW8),2),Auxiliar!$D$1:$E$7,2,0))</f>
        <v/>
      </c>
      <c r="JX9" s="30" t="str">
        <f>IF(JX$8="","",VLOOKUP(WEEKDAY(DATE($A$4,$A$5+$A$3-1,JX8),2),Auxiliar!$D$1:$E$7,2,0))</f>
        <v/>
      </c>
      <c r="JY9" s="30" t="str">
        <f>IF(JY$8="","",VLOOKUP(WEEKDAY(DATE($A$4,$A$5+$A$3-1,JY8),2),Auxiliar!$D$1:$E$7,2,0))</f>
        <v/>
      </c>
      <c r="JZ9" s="30" t="str">
        <f>IF(JZ$8="","",VLOOKUP(WEEKDAY(DATE($A$4,$A$5+$A$3-1,JZ8),2),Auxiliar!$D$1:$E$7,2,0))</f>
        <v/>
      </c>
      <c r="KA9" s="30" t="str">
        <f>IF(KA$8="","",VLOOKUP(WEEKDAY(DATE($A$4,$A$5+$A$3-1,KA8),2),Auxiliar!$D$1:$E$7,2,0))</f>
        <v/>
      </c>
      <c r="KB9" s="30" t="str">
        <f>IF(KB$8="","",VLOOKUP(WEEKDAY(DATE($A$4,$A$5+$A$3-1,KB8),2),Auxiliar!$D$1:$E$7,2,0))</f>
        <v/>
      </c>
      <c r="KC9" s="30" t="str">
        <f>IF(KC$8="","",VLOOKUP(WEEKDAY(DATE($A$4,$A$5+$A$3-1,KC8),2),Auxiliar!$D$1:$E$7,2,0))</f>
        <v/>
      </c>
      <c r="KD9" s="30" t="str">
        <f>IF(KD$8="","",VLOOKUP(WEEKDAY(DATE($A$4,$A$5+$A$3-1,KD8),2),Auxiliar!$D$1:$E$7,2,0))</f>
        <v/>
      </c>
      <c r="KE9" s="30" t="str">
        <f>IF(KE$8="","",VLOOKUP(WEEKDAY(DATE($A$4,$A$5+$A$3-1,KE8),2),Auxiliar!$D$1:$E$7,2,0))</f>
        <v/>
      </c>
      <c r="KF9" s="30" t="str">
        <f>IF(KF$8="","",VLOOKUP(WEEKDAY(DATE($A$4,$A$5+$A$3-1,KF8),2),Auxiliar!$D$1:$E$7,2,0))</f>
        <v/>
      </c>
      <c r="KG9" s="30" t="str">
        <f>IF(KG$8="","",VLOOKUP(WEEKDAY(DATE($A$4,$A$5+$A$3-1,KG8),2),Auxiliar!$D$1:$E$7,2,0))</f>
        <v/>
      </c>
      <c r="KH9" s="30" t="str">
        <f>IF(KH$8="","",VLOOKUP(WEEKDAY(DATE($A$4,$A$5+$A$3-1,KH8),2),Auxiliar!$D$1:$E$7,2,0))</f>
        <v/>
      </c>
      <c r="KI9" s="30" t="str">
        <f>IF(KI$8="","",VLOOKUP(WEEKDAY(DATE($A$4,$A$5+$A$3-1,KI8),2),Auxiliar!$D$1:$E$7,2,0))</f>
        <v/>
      </c>
      <c r="KJ9" s="30" t="str">
        <f>IF(KJ$8="","",VLOOKUP(WEEKDAY(DATE($A$4,$A$5+$A$3-1,KJ8),2),Auxiliar!$D$1:$E$7,2,0))</f>
        <v/>
      </c>
      <c r="KK9" s="30" t="str">
        <f>IF(KK$8="","",VLOOKUP(WEEKDAY(DATE($A$4,$A$5+$A$3-1,KK8),2),Auxiliar!$D$1:$E$7,2,0))</f>
        <v/>
      </c>
      <c r="KL9" s="30" t="str">
        <f>IF(KL$8="","",VLOOKUP(WEEKDAY(DATE($A$4,$A$5+$A$3-1,KL8),2),Auxiliar!$D$1:$E$7,2,0))</f>
        <v/>
      </c>
      <c r="KM9" s="30" t="str">
        <f>IF(KM$8="","",VLOOKUP(WEEKDAY(DATE($A$4,$A$5+$A$3-1,KM8),2),Auxiliar!$D$1:$E$7,2,0))</f>
        <v/>
      </c>
      <c r="KN9" s="30" t="str">
        <f>IF(KN$8="","",VLOOKUP(WEEKDAY(DATE($A$4,$A$5+$A$3-1,KN8),2),Auxiliar!$D$1:$E$7,2,0))</f>
        <v/>
      </c>
      <c r="KO9" s="30" t="str">
        <f>IF(KO$8="","",VLOOKUP(WEEKDAY(DATE($A$4,$A$5+$A$3-1,KO8),2),Auxiliar!$D$1:$E$7,2,0))</f>
        <v/>
      </c>
      <c r="KP9" s="30" t="str">
        <f>IF(KP$8="","",VLOOKUP(WEEKDAY(DATE($A$4,$A$5+$A$3-1,KP8),2),Auxiliar!$D$1:$E$7,2,0))</f>
        <v/>
      </c>
      <c r="KQ9" s="30" t="str">
        <f>IF(KQ$8="","",VLOOKUP(WEEKDAY(DATE($A$4,$A$5+$A$3-1,KQ8),2),Auxiliar!$D$1:$E$7,2,0))</f>
        <v/>
      </c>
      <c r="KR9" s="30" t="str">
        <f>IF(KR$8="","",VLOOKUP(WEEKDAY(DATE($A$4,$A$5+$A$3-1,KR8),2),Auxiliar!$D$1:$E$7,2,0))</f>
        <v/>
      </c>
      <c r="KS9" s="30" t="str">
        <f>IF(KS$8="","",VLOOKUP(WEEKDAY(DATE($A$4,$A$5+$A$3-1,KS8),2),Auxiliar!$D$1:$E$7,2,0))</f>
        <v/>
      </c>
      <c r="KT9" s="30" t="str">
        <f>IF(KT$8="","",VLOOKUP(WEEKDAY(DATE($A$4,$A$5+$A$3-1,KT8),2),Auxiliar!$D$1:$E$7,2,0))</f>
        <v/>
      </c>
      <c r="KU9" s="30" t="str">
        <f>IF(KU$8="","",VLOOKUP(WEEKDAY(DATE($A$4,$A$5+$A$3-1,KU8),2),Auxiliar!$D$1:$E$7,2,0))</f>
        <v/>
      </c>
      <c r="KV9" s="30" t="str">
        <f>IF(KV$8="","",VLOOKUP(WEEKDAY(DATE($A$4,$A$5+$A$3-1,KV8),2),Auxiliar!$D$1:$E$7,2,0))</f>
        <v/>
      </c>
      <c r="KW9" s="30" t="str">
        <f>IF(KW$8="","",VLOOKUP(WEEKDAY(DATE($A$4,$A$5+$A$3-1,KW8),2),Auxiliar!$D$1:$E$7,2,0))</f>
        <v/>
      </c>
      <c r="KX9" s="30" t="str">
        <f>IF(KX$8="","",VLOOKUP(WEEKDAY(DATE($A$4,$A$5+$A$3-1,KX8),2),Auxiliar!$D$1:$E$7,2,0))</f>
        <v/>
      </c>
      <c r="KY9" s="30" t="str">
        <f>IF(KY$8="","",VLOOKUP(WEEKDAY(DATE($A$4,$A$5+$A$3-1,KY8),2),Auxiliar!$D$1:$E$7,2,0))</f>
        <v/>
      </c>
      <c r="KZ9" s="30" t="str">
        <f>IF(KZ$8="","",VLOOKUP(WEEKDAY(DATE($A$4,$A$5+$A$3-1,KZ8),2),Auxiliar!$D$1:$E$7,2,0))</f>
        <v/>
      </c>
      <c r="LA9" s="30" t="str">
        <f>IF(LA$8="","",VLOOKUP(WEEKDAY(DATE($A$4,$A$5+$A$3-1,LA8),2),Auxiliar!$D$1:$E$7,2,0))</f>
        <v/>
      </c>
      <c r="LB9" s="30" t="str">
        <f>IF(LB$8="","",VLOOKUP(WEEKDAY(DATE($A$4,$A$5+$A$3-1,LB8),2),Auxiliar!$D$1:$E$7,2,0))</f>
        <v/>
      </c>
      <c r="LC9" s="30" t="str">
        <f>IF(LC$8="","",VLOOKUP(WEEKDAY(DATE($A$4,$A$5+$A$3-1,LC8),2),Auxiliar!$D$1:$E$7,2,0))</f>
        <v/>
      </c>
      <c r="LD9" s="30" t="str">
        <f>IF(LD$8="","",VLOOKUP(WEEKDAY(DATE($A$4,$A$5+$A$3-1,LD8),2),Auxiliar!$D$1:$E$7,2,0))</f>
        <v/>
      </c>
      <c r="LE9" s="30" t="str">
        <f>IF(LE$8="","",VLOOKUP(WEEKDAY(DATE($A$4,$A$5+$A$3-1,LE8),2),Auxiliar!$D$1:$E$7,2,0))</f>
        <v/>
      </c>
      <c r="LF9" s="30" t="str">
        <f>IF(LF$8="","",VLOOKUP(WEEKDAY(DATE($A$4,$A$5+$A$3-1,LF8),2),Auxiliar!$D$1:$E$7,2,0))</f>
        <v/>
      </c>
      <c r="LG9" s="30" t="str">
        <f>IF(LG$8="","",VLOOKUP(WEEKDAY(DATE($A$4,$A$5+$A$3-1,LG8),2),Auxiliar!$D$1:$E$7,2,0))</f>
        <v/>
      </c>
      <c r="LH9" s="30" t="str">
        <f>IF(LH$8="","",VLOOKUP(WEEKDAY(DATE($A$4,$A$5+$A$3-1,LH8),2),Auxiliar!$D$1:$E$7,2,0))</f>
        <v/>
      </c>
      <c r="LI9" s="30" t="str">
        <f>IF(LI$8="","",VLOOKUP(WEEKDAY(DATE($A$4,$A$5+$A$3-1,LI8),2),Auxiliar!$D$1:$E$7,2,0))</f>
        <v/>
      </c>
      <c r="LJ9" s="30" t="str">
        <f>IF(LJ$8="","",VLOOKUP(WEEKDAY(DATE($A$4,$A$5+$A$3-1,LJ8),2),Auxiliar!$D$1:$E$7,2,0))</f>
        <v/>
      </c>
      <c r="LK9" s="30" t="str">
        <f>IF(LK$8="","",VLOOKUP(WEEKDAY(DATE($A$4,$A$5+$A$3-1,LK8),2),Auxiliar!$D$1:$E$7,2,0))</f>
        <v/>
      </c>
      <c r="LL9" s="30" t="str">
        <f>IF(LL$8="","",VLOOKUP(WEEKDAY(DATE($A$4,$A$5+$A$3-1,LL8),2),Auxiliar!$D$1:$E$7,2,0))</f>
        <v/>
      </c>
      <c r="LM9" s="30" t="str">
        <f>IF(LM$8="","",VLOOKUP(WEEKDAY(DATE($A$4,$A$5+$A$3-1,LM8),2),Auxiliar!$D$1:$E$7,2,0))</f>
        <v/>
      </c>
      <c r="LN9" s="30" t="str">
        <f>IF(LN$8="","",VLOOKUP(WEEKDAY(DATE($A$4,$A$5+$A$3-1,LN8),2),Auxiliar!$D$1:$E$7,2,0))</f>
        <v/>
      </c>
      <c r="LO9" s="30" t="str">
        <f>IF(LO$8="","",VLOOKUP(WEEKDAY(DATE($A$4,$A$5+$A$3-1,LO8),2),Auxiliar!$D$1:$E$7,2,0))</f>
        <v/>
      </c>
      <c r="LP9" s="30" t="str">
        <f>IF(LP$8="","",VLOOKUP(WEEKDAY(DATE($A$4,$A$5+$A$3-1,LP8),2),Auxiliar!$D$1:$E$7,2,0))</f>
        <v/>
      </c>
      <c r="LQ9" s="30" t="str">
        <f>IF(LQ$8="","",VLOOKUP(WEEKDAY(DATE($A$4,$A$5+$A$3-1,LQ8),2),Auxiliar!$D$1:$E$7,2,0))</f>
        <v/>
      </c>
      <c r="LR9" s="30" t="str">
        <f>IF(LR$8="","",VLOOKUP(WEEKDAY(DATE($A$4,$A$5+$A$3-1,LR8),2),Auxiliar!$D$1:$E$7,2,0))</f>
        <v/>
      </c>
      <c r="LS9" s="30" t="str">
        <f>IF(LS$8="","",VLOOKUP(WEEKDAY(DATE($A$4,$A$5+$A$3-1,LS8),2),Auxiliar!$D$1:$E$7,2,0))</f>
        <v/>
      </c>
      <c r="LT9" s="30" t="str">
        <f>IF(LT$8="","",VLOOKUP(WEEKDAY(DATE($A$4,$A$5+$A$3-1,LT8),2),Auxiliar!$D$1:$E$7,2,0))</f>
        <v/>
      </c>
      <c r="LU9" s="30" t="str">
        <f>IF(LU$8="","",VLOOKUP(WEEKDAY(DATE($A$4,$A$5+$A$3-1,LU8),2),Auxiliar!$D$1:$E$7,2,0))</f>
        <v/>
      </c>
      <c r="LV9" s="30" t="str">
        <f>IF(LV$8="","",VLOOKUP(WEEKDAY(DATE($A$4,$A$5+$A$3-1,LV8),2),Auxiliar!$D$1:$E$7,2,0))</f>
        <v/>
      </c>
      <c r="LW9" s="30" t="str">
        <f>IF(LW$8="","",VLOOKUP(WEEKDAY(DATE($A$4,$A$5+$A$3-1,LW8),2),Auxiliar!$D$1:$E$7,2,0))</f>
        <v/>
      </c>
      <c r="LX9" s="30" t="str">
        <f>IF(LX$8="","",VLOOKUP(WEEKDAY(DATE($A$4,$A$5+$A$3-1,LX8),2),Auxiliar!$D$1:$E$7,2,0))</f>
        <v/>
      </c>
      <c r="LY9" s="30" t="str">
        <f>IF(LY$8="","",VLOOKUP(WEEKDAY(DATE($A$4,$A$5+$A$3-1,LY8),2),Auxiliar!$D$1:$E$7,2,0))</f>
        <v/>
      </c>
      <c r="LZ9" s="30" t="str">
        <f>IF(LZ$8="","",VLOOKUP(WEEKDAY(DATE($A$4,$A$5+$A$3-1,LZ8),2),Auxiliar!$D$1:$E$7,2,0))</f>
        <v/>
      </c>
      <c r="MA9" s="30" t="str">
        <f>IF(MA$8="","",VLOOKUP(WEEKDAY(DATE($A$4,$A$5+$A$3-1,MA8),2),Auxiliar!$D$1:$E$7,2,0))</f>
        <v/>
      </c>
      <c r="MB9" s="30" t="str">
        <f>IF(MB$8="","",VLOOKUP(WEEKDAY(DATE($A$4,$A$5+$A$3-1,MB8),2),Auxiliar!$D$1:$E$7,2,0))</f>
        <v/>
      </c>
      <c r="MC9" s="30" t="str">
        <f>IF(MC$8="","",VLOOKUP(WEEKDAY(DATE($A$4,$A$5+$A$3-1,MC8),2),Auxiliar!$D$1:$E$7,2,0))</f>
        <v/>
      </c>
      <c r="MD9" s="30" t="str">
        <f>IF(MD$8="","",VLOOKUP(WEEKDAY(DATE($A$4,$A$5+$A$3-1,MD8),2),Auxiliar!$D$1:$E$7,2,0))</f>
        <v/>
      </c>
      <c r="ME9" s="30" t="str">
        <f>IF(ME$8="","",VLOOKUP(WEEKDAY(DATE($A$4,$A$5+$A$3-1,ME8),2),Auxiliar!$D$1:$E$7,2,0))</f>
        <v>Dom</v>
      </c>
      <c r="MF9" s="30" t="str">
        <f>IF(MF$8="","",VLOOKUP(WEEKDAY(DATE($A$4,$A$5+$A$3-1,MF8),2),Auxiliar!$D$1:$E$7,2,0))</f>
        <v>Lun</v>
      </c>
      <c r="MG9" s="30" t="str">
        <f>IF(MG$8="","",VLOOKUP(WEEKDAY(DATE($A$4,$A$5+$A$3-1,MG8),2),Auxiliar!$D$1:$E$7,2,0))</f>
        <v>Mar</v>
      </c>
      <c r="MH9" s="30" t="str">
        <f>IF(MH$8="","",VLOOKUP(WEEKDAY(DATE($A$4,$A$5+$A$3-1,MH8),2),Auxiliar!$D$1:$E$7,2,0))</f>
        <v>Mie</v>
      </c>
      <c r="MI9" s="30" t="str">
        <f>IF(MI$8="","",VLOOKUP(WEEKDAY(DATE($A$4,$A$5+$A$3-1,MI8),2),Auxiliar!$D$1:$E$7,2,0))</f>
        <v>Jue</v>
      </c>
      <c r="MJ9" s="30" t="str">
        <f>IF(MJ$8="","",VLOOKUP(WEEKDAY(DATE($A$4,$A$5+$A$3-1,MJ8),2),Auxiliar!$D$1:$E$7,2,0))</f>
        <v>Vie</v>
      </c>
      <c r="MK9" s="30" t="str">
        <f>IF(MK$8="","",VLOOKUP(WEEKDAY(DATE($A$4,$A$5+$A$3-1,MK8),2),Auxiliar!$D$1:$E$7,2,0))</f>
        <v>Sab</v>
      </c>
      <c r="ML9" s="30" t="str">
        <f>IF(ML$8="","",VLOOKUP(WEEKDAY(DATE($A$4,$A$5+$A$3-1,ML8),2),Auxiliar!$D$1:$E$7,2,0))</f>
        <v>Dom</v>
      </c>
      <c r="MM9" s="30" t="str">
        <f>IF(MM$8="","",VLOOKUP(WEEKDAY(DATE($A$4,$A$5+$A$3-1,MM8),2),Auxiliar!$D$1:$E$7,2,0))</f>
        <v>Lun</v>
      </c>
      <c r="MN9" s="30" t="str">
        <f>IF(MN$8="","",VLOOKUP(WEEKDAY(DATE($A$4,$A$5+$A$3-1,MN8),2),Auxiliar!$D$1:$E$7,2,0))</f>
        <v>Mar</v>
      </c>
      <c r="MO9" s="30" t="str">
        <f>IF(MO$8="","",VLOOKUP(WEEKDAY(DATE($A$4,$A$5+$A$3-1,MO8),2),Auxiliar!$D$1:$E$7,2,0))</f>
        <v>Mie</v>
      </c>
      <c r="MP9" s="30" t="str">
        <f>IF(MP$8="","",VLOOKUP(WEEKDAY(DATE($A$4,$A$5+$A$3-1,MP8),2),Auxiliar!$D$1:$E$7,2,0))</f>
        <v>Jue</v>
      </c>
      <c r="MQ9" s="30" t="str">
        <f>IF(MQ$8="","",VLOOKUP(WEEKDAY(DATE($A$4,$A$5+$A$3-1,MQ8),2),Auxiliar!$D$1:$E$7,2,0))</f>
        <v>Vie</v>
      </c>
      <c r="MR9" s="30" t="str">
        <f>IF(MR$8="","",VLOOKUP(WEEKDAY(DATE($A$4,$A$5+$A$3-1,MR8),2),Auxiliar!$D$1:$E$7,2,0))</f>
        <v>Sab</v>
      </c>
      <c r="MS9" s="30" t="str">
        <f>IF(MS$8="","",VLOOKUP(WEEKDAY(DATE($A$4,$A$5+$A$3-1,MS8),2),Auxiliar!$D$1:$E$7,2,0))</f>
        <v>Dom</v>
      </c>
      <c r="MT9" s="30" t="str">
        <f>IF(MT$8="","",VLOOKUP(WEEKDAY(DATE($A$4,$A$5+$A$3-1,MT8),2),Auxiliar!$D$1:$E$7,2,0))</f>
        <v>Lun</v>
      </c>
      <c r="MU9" s="30" t="str">
        <f>IF(MU$8="","",VLOOKUP(WEEKDAY(DATE($A$4,$A$5+$A$3-1,MU8),2),Auxiliar!$D$1:$E$7,2,0))</f>
        <v>Mar</v>
      </c>
      <c r="MV9" s="30" t="str">
        <f>IF(MV$8="","",VLOOKUP(WEEKDAY(DATE($A$4,$A$5+$A$3-1,MV8),2),Auxiliar!$D$1:$E$7,2,0))</f>
        <v>Mie</v>
      </c>
      <c r="MW9" s="30" t="str">
        <f>IF(MW$8="","",VLOOKUP(WEEKDAY(DATE($A$4,$A$5+$A$3-1,MW8),2),Auxiliar!$D$1:$E$7,2,0))</f>
        <v>Jue</v>
      </c>
      <c r="MX9" s="30" t="str">
        <f>IF(MX$8="","",VLOOKUP(WEEKDAY(DATE($A$4,$A$5+$A$3-1,MX8),2),Auxiliar!$D$1:$E$7,2,0))</f>
        <v>Vie</v>
      </c>
      <c r="MY9" s="30" t="str">
        <f>IF(MY$8="","",VLOOKUP(WEEKDAY(DATE($A$4,$A$5+$A$3-1,MY8),2),Auxiliar!$D$1:$E$7,2,0))</f>
        <v>Sab</v>
      </c>
      <c r="MZ9" s="30" t="str">
        <f>IF(MZ$8="","",VLOOKUP(WEEKDAY(DATE($A$4,$A$5+$A$3-1,MZ8),2),Auxiliar!$D$1:$E$7,2,0))</f>
        <v>Dom</v>
      </c>
      <c r="NA9" s="30" t="str">
        <f>IF(NA$8="","",VLOOKUP(WEEKDAY(DATE($A$4,$A$5+$A$3-1,NA8),2),Auxiliar!$D$1:$E$7,2,0))</f>
        <v>Lun</v>
      </c>
      <c r="NB9" s="30" t="str">
        <f>IF(NB$8="","",VLOOKUP(WEEKDAY(DATE($A$4,$A$5+$A$3-1,NB8),2),Auxiliar!$D$1:$E$7,2,0))</f>
        <v>Mar</v>
      </c>
      <c r="NC9" s="30" t="str">
        <f>IF(NC$8="","",VLOOKUP(WEEKDAY(DATE($A$4,$A$5+$A$3-1,NC8),2),Auxiliar!$D$1:$E$7,2,0))</f>
        <v>Mie</v>
      </c>
      <c r="ND9" s="30" t="str">
        <f>IF(ND$8="","",VLOOKUP(WEEKDAY(DATE($A$4,$A$5+$A$3-1,ND8),2),Auxiliar!$D$1:$E$7,2,0))</f>
        <v>Jue</v>
      </c>
      <c r="NE9" s="30" t="str">
        <f>IF(NE$8="","",VLOOKUP(WEEKDAY(DATE($A$4,$A$5+$A$3-1,NE8),2),Auxiliar!$D$1:$E$7,2,0))</f>
        <v>Vie</v>
      </c>
      <c r="NF9" s="30" t="str">
        <f>IF(NF$8="","",VLOOKUP(WEEKDAY(DATE($A$4,$A$5+$A$3-1,NF8),2),Auxiliar!$D$1:$E$7,2,0))</f>
        <v>Sab</v>
      </c>
      <c r="NG9" s="30" t="str">
        <f>IF(NG$8="","",VLOOKUP(WEEKDAY(DATE($A$4,$A$5+$A$3-1,NG8),2),Auxiliar!$D$1:$E$7,2,0))</f>
        <v>Dom</v>
      </c>
      <c r="NH9" s="30" t="str">
        <f>IF(NH$8="","",VLOOKUP(WEEKDAY(DATE($A$4,$A$5+$A$3-1,NH8),2),Auxiliar!$D$1:$E$7,2,0))</f>
        <v>Lun</v>
      </c>
      <c r="NI9" s="30" t="str">
        <f>IF(NI$8="","",VLOOKUP(WEEKDAY(DATE($A$4,$A$5+$A$3-1,NI8),2),Auxiliar!$D$1:$E$7,2,0))</f>
        <v>Mar</v>
      </c>
      <c r="NJ9" s="52"/>
      <c r="NK9" s="54"/>
      <c r="NL9" s="56"/>
      <c r="NM9" s="56"/>
      <c r="NN9" s="50"/>
      <c r="NO9" s="50"/>
      <c r="NP9" s="50"/>
      <c r="NQ9" s="50"/>
      <c r="NR9" s="50"/>
      <c r="NT9" s="45"/>
    </row>
    <row r="10" spans="1:759" x14ac:dyDescent="0.25">
      <c r="A10" s="1" t="s">
        <v>49</v>
      </c>
      <c r="B10" s="21"/>
      <c r="C10" s="21"/>
      <c r="D10" s="21"/>
      <c r="E10" s="21"/>
      <c r="F10" s="21"/>
      <c r="G10" s="21"/>
      <c r="H10" s="21"/>
      <c r="I10" s="21"/>
      <c r="J10" s="21"/>
      <c r="K10" s="21"/>
      <c r="L10" s="21"/>
      <c r="M10" s="21"/>
      <c r="N10" s="21"/>
      <c r="O10" s="21"/>
      <c r="P10" s="21" t="s">
        <v>58</v>
      </c>
      <c r="Q10" s="21"/>
      <c r="R10" s="21"/>
      <c r="S10" s="21"/>
      <c r="T10" s="21"/>
      <c r="U10" s="21"/>
      <c r="V10" s="21"/>
      <c r="W10" s="21"/>
      <c r="X10" s="21"/>
      <c r="Y10" s="21"/>
      <c r="Z10" s="21"/>
      <c r="AA10" s="21"/>
      <c r="AB10" s="21"/>
      <c r="AC10" s="21"/>
      <c r="AD10" s="21" t="s">
        <v>58</v>
      </c>
      <c r="AE10" s="21" t="s">
        <v>58</v>
      </c>
      <c r="AF10" s="21"/>
      <c r="AG10" s="21"/>
      <c r="AH10" s="21" t="s">
        <v>58</v>
      </c>
      <c r="AI10" s="21"/>
      <c r="AJ10" s="21"/>
      <c r="AK10" s="21"/>
      <c r="AL10" s="21"/>
      <c r="AM10" s="21"/>
      <c r="AN10" s="21"/>
      <c r="AO10" s="21"/>
      <c r="AP10" s="21"/>
      <c r="AQ10" s="21"/>
      <c r="AR10" s="21"/>
      <c r="AS10" s="21"/>
      <c r="AT10" s="21"/>
      <c r="AU10" s="21"/>
      <c r="AV10" s="21" t="s">
        <v>58</v>
      </c>
      <c r="AW10" s="21"/>
      <c r="AX10" s="21"/>
      <c r="AY10" s="21"/>
      <c r="AZ10" s="21"/>
      <c r="BA10" s="21"/>
      <c r="BB10" s="21"/>
      <c r="BC10" s="21"/>
      <c r="BD10" s="21"/>
      <c r="BE10" s="21"/>
      <c r="BF10" s="21" t="s">
        <v>58</v>
      </c>
      <c r="BG10" s="21" t="s">
        <v>58</v>
      </c>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t="s">
        <v>58</v>
      </c>
      <c r="DM10" s="21"/>
      <c r="DN10" s="21"/>
      <c r="DO10" s="21"/>
      <c r="DP10" s="21"/>
      <c r="DQ10" s="21"/>
      <c r="DR10" s="21"/>
      <c r="DS10" s="21"/>
      <c r="DT10" s="21"/>
      <c r="DU10" s="21"/>
      <c r="DV10" s="21"/>
      <c r="DW10" s="21"/>
      <c r="DX10" s="21"/>
      <c r="DY10" s="21"/>
      <c r="DZ10" s="21"/>
      <c r="EA10" s="21" t="s">
        <v>58</v>
      </c>
      <c r="EB10" s="21" t="s">
        <v>58</v>
      </c>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t="s">
        <v>0</v>
      </c>
      <c r="FR10" s="21" t="s">
        <v>0</v>
      </c>
      <c r="FS10" s="21"/>
      <c r="FT10" s="21" t="s">
        <v>0</v>
      </c>
      <c r="FU10" s="21"/>
      <c r="FV10" s="21"/>
      <c r="FW10" s="21"/>
      <c r="FX10" s="21" t="s">
        <v>0</v>
      </c>
      <c r="FY10" s="21" t="s">
        <v>0</v>
      </c>
      <c r="FZ10" s="21" t="s">
        <v>0</v>
      </c>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t="s">
        <v>58</v>
      </c>
      <c r="HB10" s="21"/>
      <c r="HC10" s="21"/>
      <c r="HD10" s="21"/>
      <c r="HE10" s="21"/>
      <c r="HF10" s="21"/>
      <c r="HG10" s="21"/>
      <c r="HH10" s="21"/>
      <c r="HI10" s="21"/>
      <c r="HJ10" s="21"/>
      <c r="HK10" s="21"/>
      <c r="HL10" s="21"/>
      <c r="HM10" s="21"/>
      <c r="HN10" s="21"/>
      <c r="HO10" s="21"/>
      <c r="HP10" s="21"/>
      <c r="HQ10" s="21"/>
      <c r="HR10" s="21"/>
      <c r="HS10" s="21"/>
      <c r="HT10" s="21"/>
      <c r="HU10" s="21"/>
      <c r="HV10" s="21" t="s">
        <v>58</v>
      </c>
      <c r="HW10" s="21"/>
      <c r="HX10" s="21"/>
      <c r="HY10" s="21" t="s">
        <v>58</v>
      </c>
      <c r="HZ10" s="21"/>
      <c r="IA10" s="21"/>
      <c r="IB10" s="21"/>
      <c r="IC10" s="21" t="s">
        <v>58</v>
      </c>
      <c r="ID10" s="21" t="s">
        <v>58</v>
      </c>
      <c r="IE10" s="21"/>
      <c r="IF10" s="21"/>
      <c r="IG10" s="21"/>
      <c r="IH10" s="21"/>
      <c r="II10" s="21"/>
      <c r="IJ10" s="21"/>
      <c r="IK10" s="21"/>
      <c r="IL10" s="21"/>
      <c r="IM10" s="21"/>
      <c r="IN10" s="21"/>
      <c r="IO10" s="21"/>
      <c r="IP10" s="21"/>
      <c r="IQ10" s="21" t="s">
        <v>58</v>
      </c>
      <c r="IR10" s="21"/>
      <c r="IS10" s="21"/>
      <c r="IT10" s="21"/>
      <c r="IU10" s="21"/>
      <c r="IV10" s="21"/>
      <c r="IW10" s="21"/>
      <c r="IX10" s="21" t="s">
        <v>58</v>
      </c>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21"/>
      <c r="KN10" s="21"/>
      <c r="KO10" s="21"/>
      <c r="KP10" s="21"/>
      <c r="KQ10" s="21"/>
      <c r="KR10" s="21"/>
      <c r="KS10" s="21"/>
      <c r="KT10" s="21"/>
      <c r="KU10" s="21"/>
      <c r="KV10" s="21"/>
      <c r="KW10" s="21"/>
      <c r="KX10" s="21"/>
      <c r="KY10" s="21"/>
      <c r="KZ10" s="21"/>
      <c r="LA10" s="21"/>
      <c r="LB10" s="21"/>
      <c r="LC10" s="21"/>
      <c r="LD10" s="21"/>
      <c r="LE10" s="21"/>
      <c r="LF10" s="21"/>
      <c r="LG10" s="21"/>
      <c r="LH10" s="21"/>
      <c r="LI10" s="21"/>
      <c r="LJ10" s="21"/>
      <c r="LK10" s="21"/>
      <c r="LL10" s="21"/>
      <c r="LM10" s="21"/>
      <c r="LN10" s="21"/>
      <c r="LO10" s="21"/>
      <c r="LP10" s="21"/>
      <c r="LQ10" s="21"/>
      <c r="LR10" s="21"/>
      <c r="LS10" s="21"/>
      <c r="LT10" s="21"/>
      <c r="LU10" s="21"/>
      <c r="LV10" s="21"/>
      <c r="LW10" s="21"/>
      <c r="LX10" s="21"/>
      <c r="LY10" s="21"/>
      <c r="LZ10" s="21"/>
      <c r="MA10" s="21"/>
      <c r="MB10" s="21"/>
      <c r="MC10" s="21"/>
      <c r="MD10" s="21"/>
      <c r="ME10" s="21"/>
      <c r="MF10" s="21"/>
      <c r="MG10" s="21"/>
      <c r="MH10" s="21"/>
      <c r="MI10" s="21"/>
      <c r="MJ10" s="21"/>
      <c r="MK10" s="21"/>
      <c r="ML10" s="21"/>
      <c r="MM10" s="21"/>
      <c r="MN10" s="21"/>
      <c r="MO10" s="21"/>
      <c r="MP10" s="21"/>
      <c r="MQ10" s="21"/>
      <c r="MR10" s="21"/>
      <c r="MS10" s="21"/>
      <c r="MT10" s="21"/>
      <c r="MU10" s="21"/>
      <c r="MV10" s="21"/>
      <c r="MW10" s="21"/>
      <c r="MX10" s="21"/>
      <c r="MY10" s="21"/>
      <c r="MZ10" s="21"/>
      <c r="NA10" s="21"/>
      <c r="NB10" s="21"/>
      <c r="NC10" s="21"/>
      <c r="ND10" s="21"/>
      <c r="NE10" s="21"/>
      <c r="NF10" s="21"/>
      <c r="NG10" s="21"/>
      <c r="NH10" s="21"/>
      <c r="NI10" s="48"/>
      <c r="NJ10" s="31">
        <f t="array" aca="1" ref="NJ10" ca="1">SUMPRODUCT((OFFSET($A10,0,31*($A$5-1)+1,1,31)&lt;&gt;"")*(IF(OFFSET($A10,0,31*($A$5-1)+1,1,31)=$NK$6,0.5,1)*(OFFSET($A$6,0,31*($A$5-1)+1,1,31))))</f>
        <v>0</v>
      </c>
      <c r="NK10" s="32">
        <f t="array" aca="1" ref="NK10" ca="1">SUMPRODUCT((OFFSET($A10,0,1,1,372)&lt;&gt;"")*(IF(OFFSET($A10,0,1,1,372)=$NK$6,0.5,1)*(OFFSET($A$6,0,1,1,372))))</f>
        <v>23</v>
      </c>
      <c r="NL10" s="28">
        <v>1</v>
      </c>
      <c r="NM10" s="28">
        <f t="shared" ref="NM10:NM24" ca="1" si="6">NL10-NK10</f>
        <v>-22</v>
      </c>
      <c r="NN10" s="18">
        <f ca="1">SUMPRODUCT((OFFSET($A10,0,1,1,372)&lt;&gt;"")*(OFFSET($A$6,0,1,1,372))*((OFFSET($A10,0,1,1,372))=NN$8))</f>
        <v>0</v>
      </c>
      <c r="NO10" s="18">
        <f t="shared" ref="NO10:NR12" ca="1" si="7">SUMPRODUCT((OFFSET($A10,0,1,1,372)&lt;&gt;"")*(OFFSET($A$6,0,1,1,372))*((OFFSET($A10,0,1,1,372))=NO$8))</f>
        <v>23</v>
      </c>
      <c r="NP10" s="18">
        <f t="shared" ca="1" si="7"/>
        <v>0</v>
      </c>
      <c r="NQ10" s="18">
        <f t="shared" ca="1" si="7"/>
        <v>0</v>
      </c>
      <c r="NR10" s="18">
        <f t="shared" ca="1" si="7"/>
        <v>0</v>
      </c>
      <c r="NT10" s="46">
        <v>42285</v>
      </c>
      <c r="NU10" t="s">
        <v>67</v>
      </c>
    </row>
    <row r="11" spans="1:759" x14ac:dyDescent="0.25">
      <c r="A11" s="1" t="s">
        <v>52</v>
      </c>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t="s">
        <v>58</v>
      </c>
      <c r="AW11" s="21"/>
      <c r="AX11" s="21"/>
      <c r="AY11" s="21"/>
      <c r="AZ11" s="21"/>
      <c r="BA11" s="21"/>
      <c r="BB11" s="21"/>
      <c r="BC11" s="21"/>
      <c r="BD11" s="21"/>
      <c r="BE11" s="21"/>
      <c r="BF11" s="21"/>
      <c r="BG11" s="21"/>
      <c r="BH11" s="21"/>
      <c r="BI11" s="21"/>
      <c r="BJ11" s="21"/>
      <c r="BK11" s="21"/>
      <c r="BL11" s="21" t="s">
        <v>58</v>
      </c>
      <c r="BM11" s="21"/>
      <c r="BN11" s="21"/>
      <c r="BO11" s="21" t="s">
        <v>58</v>
      </c>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t="s">
        <v>58</v>
      </c>
      <c r="CO11" s="21"/>
      <c r="CP11" s="21"/>
      <c r="CQ11" s="21"/>
      <c r="CR11" s="21"/>
      <c r="CS11" s="21"/>
      <c r="CT11" s="21"/>
      <c r="CU11" s="21"/>
      <c r="CV11" s="21"/>
      <c r="CW11" s="21"/>
      <c r="CX11" s="21" t="s">
        <v>58</v>
      </c>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t="s">
        <v>58</v>
      </c>
      <c r="EF11" s="21"/>
      <c r="EG11" s="21"/>
      <c r="EH11" s="21"/>
      <c r="EI11" s="21"/>
      <c r="EJ11" s="21"/>
      <c r="EK11" s="21"/>
      <c r="EL11" s="21"/>
      <c r="EM11" s="21"/>
      <c r="EN11" s="21"/>
      <c r="EO11" s="21"/>
      <c r="EP11" s="21"/>
      <c r="EQ11" s="21"/>
      <c r="ER11" s="21"/>
      <c r="ES11" s="21" t="s">
        <v>58</v>
      </c>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t="s">
        <v>58</v>
      </c>
      <c r="GR11" s="21"/>
      <c r="GS11" s="21"/>
      <c r="GT11" s="21"/>
      <c r="GU11" s="21"/>
      <c r="GV11" s="21"/>
      <c r="GW11" s="21"/>
      <c r="GX11" s="21" t="s">
        <v>58</v>
      </c>
      <c r="GY11" s="21"/>
      <c r="GZ11" s="21"/>
      <c r="HA11" s="21"/>
      <c r="HB11" s="21"/>
      <c r="HC11" s="21"/>
      <c r="HD11" s="21"/>
      <c r="HE11" s="21"/>
      <c r="HF11" s="21"/>
      <c r="HG11" s="21"/>
      <c r="HH11" s="21"/>
      <c r="HI11" s="21"/>
      <c r="HJ11" s="21"/>
      <c r="HK11" s="21"/>
      <c r="HL11" s="21"/>
      <c r="HM11" s="21"/>
      <c r="HN11" s="21"/>
      <c r="HO11" s="21" t="s">
        <v>58</v>
      </c>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t="s">
        <v>58</v>
      </c>
      <c r="IV11" s="21"/>
      <c r="IW11" s="21"/>
      <c r="IX11" s="21" t="s">
        <v>58</v>
      </c>
      <c r="IY11" s="21"/>
      <c r="IZ11" s="21"/>
      <c r="JA11" s="21"/>
      <c r="JB11" s="21"/>
      <c r="JC11" s="21"/>
      <c r="JD11" s="21"/>
      <c r="JE11" s="21"/>
      <c r="JF11" s="21"/>
      <c r="JG11" s="21"/>
      <c r="JH11" s="21"/>
      <c r="JI11" s="21" t="s">
        <v>58</v>
      </c>
      <c r="JJ11" s="21"/>
      <c r="JK11" s="21"/>
      <c r="JL11" s="21"/>
      <c r="JM11" s="21"/>
      <c r="JN11" s="21"/>
      <c r="JO11" s="21"/>
      <c r="JP11" s="21"/>
      <c r="JQ11" s="21"/>
      <c r="JR11" s="21"/>
      <c r="JS11" s="21"/>
      <c r="JT11" s="21"/>
      <c r="JU11" s="21"/>
      <c r="JV11" s="21"/>
      <c r="JW11" s="21"/>
      <c r="JX11" s="21"/>
      <c r="JY11" s="21"/>
      <c r="JZ11" s="21"/>
      <c r="KA11" s="21"/>
      <c r="KB11" s="21"/>
      <c r="KC11" s="21"/>
      <c r="KD11" s="21"/>
      <c r="KE11" s="21"/>
      <c r="KF11" s="21"/>
      <c r="KG11" s="21"/>
      <c r="KH11" s="21"/>
      <c r="KI11" s="21"/>
      <c r="KJ11" s="21"/>
      <c r="KK11" s="21"/>
      <c r="KL11" s="21"/>
      <c r="KM11" s="21"/>
      <c r="KN11" s="21"/>
      <c r="KO11" s="21"/>
      <c r="KP11" s="21"/>
      <c r="KQ11" s="21"/>
      <c r="KR11" s="21"/>
      <c r="KS11" s="21"/>
      <c r="KT11" s="21"/>
      <c r="KU11" s="21"/>
      <c r="KV11" s="21"/>
      <c r="KW11" s="21"/>
      <c r="KX11" s="21"/>
      <c r="KY11" s="21"/>
      <c r="KZ11" s="21"/>
      <c r="LA11" s="21"/>
      <c r="LB11" s="21"/>
      <c r="LC11" s="21"/>
      <c r="LD11" s="21"/>
      <c r="LE11" s="21"/>
      <c r="LF11" s="21"/>
      <c r="LG11" s="21" t="s">
        <v>58</v>
      </c>
      <c r="LH11" s="21"/>
      <c r="LI11" s="21"/>
      <c r="LJ11" s="21"/>
      <c r="LK11" s="21"/>
      <c r="LL11" s="21" t="s">
        <v>58</v>
      </c>
      <c r="LM11" s="21"/>
      <c r="LN11" s="21"/>
      <c r="LO11" s="21"/>
      <c r="LP11" s="21"/>
      <c r="LQ11" s="21"/>
      <c r="LR11" s="21"/>
      <c r="LS11" s="21"/>
      <c r="LT11" s="21"/>
      <c r="LU11" s="21"/>
      <c r="LV11" s="21"/>
      <c r="LW11" s="21"/>
      <c r="LX11" s="21" t="s">
        <v>58</v>
      </c>
      <c r="LY11" s="21"/>
      <c r="LZ11" s="21"/>
      <c r="MA11" s="21"/>
      <c r="MB11" s="21"/>
      <c r="MC11" s="21"/>
      <c r="MD11" s="21"/>
      <c r="ME11" s="21"/>
      <c r="MF11" s="21"/>
      <c r="MG11" s="21"/>
      <c r="MH11" s="21"/>
      <c r="MI11" s="21"/>
      <c r="MJ11" s="21"/>
      <c r="MK11" s="21"/>
      <c r="ML11" s="21"/>
      <c r="MM11" s="21"/>
      <c r="MN11" s="21"/>
      <c r="MO11" s="21"/>
      <c r="MP11" s="21"/>
      <c r="MQ11" s="21"/>
      <c r="MR11" s="21"/>
      <c r="MS11" s="21"/>
      <c r="MT11" s="21" t="s">
        <v>58</v>
      </c>
      <c r="MU11" s="21"/>
      <c r="MV11" s="21"/>
      <c r="MW11" s="21"/>
      <c r="MX11" s="21"/>
      <c r="MY11" s="21"/>
      <c r="MZ11" s="21"/>
      <c r="NA11" s="21" t="s">
        <v>58</v>
      </c>
      <c r="NB11" s="21" t="s">
        <v>58</v>
      </c>
      <c r="NC11" s="21"/>
      <c r="ND11" s="21"/>
      <c r="NE11" s="21"/>
      <c r="NF11" s="21"/>
      <c r="NG11" s="21"/>
      <c r="NH11" s="21"/>
      <c r="NI11" s="21"/>
      <c r="NJ11" s="31">
        <f t="array" aca="1" ref="NJ11" ca="1">SUMPRODUCT((OFFSET($A11,0,31*($A$5-1)+1,1,31)&lt;&gt;"")*(IF(OFFSET($A11,0,31*($A$5-1)+1,1,31)=$NK$6,0.5,1)*(OFFSET($A$6,0,31*($A$5-1)+1,1,31))))</f>
        <v>3</v>
      </c>
      <c r="NK11" s="32">
        <f t="array" aca="1" ref="NK11" ca="1">SUMPRODUCT((OFFSET($A11,0,1,1,372)&lt;&gt;"")*(IF(OFFSET($A11,0,1,1,372)=$NK$6,0.5,1)*(OFFSET($A$6,0,1,1,372))))</f>
        <v>19</v>
      </c>
      <c r="NL11" s="28">
        <v>56</v>
      </c>
      <c r="NM11" s="28">
        <f t="shared" ca="1" si="6"/>
        <v>37</v>
      </c>
      <c r="NN11" s="18">
        <f ca="1">SUMPRODUCT((OFFSET($A11,0,1,1,372)&lt;&gt;"")*(OFFSET($A$6,0,1,1,372))*((OFFSET($A11,0,1,1,372))=NN$8))</f>
        <v>0</v>
      </c>
      <c r="NO11" s="18">
        <f t="shared" ca="1" si="7"/>
        <v>19</v>
      </c>
      <c r="NP11" s="18">
        <f t="shared" ca="1" si="7"/>
        <v>0</v>
      </c>
      <c r="NQ11" s="18">
        <f t="shared" ca="1" si="7"/>
        <v>0</v>
      </c>
      <c r="NR11" s="18">
        <f t="shared" ca="1" si="7"/>
        <v>0</v>
      </c>
      <c r="NT11" s="47">
        <v>41426</v>
      </c>
      <c r="NU11" t="s">
        <v>65</v>
      </c>
    </row>
    <row r="12" spans="1:759" x14ac:dyDescent="0.25">
      <c r="A12" s="1" t="s">
        <v>53</v>
      </c>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t="s">
        <v>58</v>
      </c>
      <c r="AB12" s="21"/>
      <c r="AC12" s="21"/>
      <c r="AD12" s="21"/>
      <c r="AE12" s="21"/>
      <c r="AF12" s="21"/>
      <c r="AG12" s="21"/>
      <c r="AH12" s="21"/>
      <c r="AI12" s="21"/>
      <c r="AJ12" s="21"/>
      <c r="AK12" s="21"/>
      <c r="AL12" s="21"/>
      <c r="AM12" s="21"/>
      <c r="AN12" s="21"/>
      <c r="AO12" s="21" t="s">
        <v>58</v>
      </c>
      <c r="AP12" s="21"/>
      <c r="AQ12" s="21"/>
      <c r="AR12" s="21" t="s">
        <v>58</v>
      </c>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t="s">
        <v>58</v>
      </c>
      <c r="BT12" s="21"/>
      <c r="BU12" s="21"/>
      <c r="BV12" s="21"/>
      <c r="BW12" s="21"/>
      <c r="BX12" s="21"/>
      <c r="BY12" s="21"/>
      <c r="BZ12" s="21"/>
      <c r="CA12" s="21"/>
      <c r="CB12" s="21"/>
      <c r="CC12" s="21"/>
      <c r="CD12" s="21" t="s">
        <v>58</v>
      </c>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t="s">
        <v>58</v>
      </c>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t="s">
        <v>58</v>
      </c>
      <c r="FE12" s="21" t="s">
        <v>58</v>
      </c>
      <c r="FF12" s="21" t="s">
        <v>58</v>
      </c>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t="s">
        <v>58</v>
      </c>
      <c r="GI12" s="21" t="s">
        <v>0</v>
      </c>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t="s">
        <v>58</v>
      </c>
      <c r="HQ12" s="21"/>
      <c r="HR12" s="21"/>
      <c r="HS12" s="21"/>
      <c r="HT12" s="21"/>
      <c r="HU12" s="21"/>
      <c r="HV12" s="21"/>
      <c r="HW12" s="21"/>
      <c r="HX12" s="21"/>
      <c r="HY12" s="21"/>
      <c r="HZ12" s="21"/>
      <c r="IA12" s="21"/>
      <c r="IB12" s="21"/>
      <c r="IC12" s="21"/>
      <c r="ID12" s="21"/>
      <c r="IE12" s="21"/>
      <c r="IF12" s="21"/>
      <c r="IG12" s="21"/>
      <c r="IH12" s="21"/>
      <c r="II12" s="21"/>
      <c r="IJ12" s="21"/>
      <c r="IK12" s="21"/>
      <c r="IL12" s="21"/>
      <c r="IM12" s="21"/>
      <c r="IN12" s="21"/>
      <c r="IO12" s="21"/>
      <c r="IP12" s="21"/>
      <c r="IQ12" s="21"/>
      <c r="IR12" s="21"/>
      <c r="IS12" s="21" t="s">
        <v>58</v>
      </c>
      <c r="IT12" s="21"/>
      <c r="IU12" s="21"/>
      <c r="IV12" s="21"/>
      <c r="IW12" s="21"/>
      <c r="IX12" s="21"/>
      <c r="IY12" s="21"/>
      <c r="IZ12" s="21"/>
      <c r="JA12" s="21"/>
      <c r="JB12" s="21"/>
      <c r="JC12" s="21"/>
      <c r="JD12" s="21"/>
      <c r="JE12" s="21"/>
      <c r="JF12" s="21"/>
      <c r="JG12" s="21"/>
      <c r="JH12" s="21"/>
      <c r="JI12" s="21" t="s">
        <v>58</v>
      </c>
      <c r="JJ12" s="21"/>
      <c r="JK12" s="21"/>
      <c r="JL12" s="21"/>
      <c r="JM12" s="21"/>
      <c r="JN12" s="21" t="s">
        <v>58</v>
      </c>
      <c r="JO12" s="21"/>
      <c r="JP12" s="21"/>
      <c r="JQ12" s="21"/>
      <c r="JR12" s="21"/>
      <c r="JS12" s="21"/>
      <c r="JT12" s="21"/>
      <c r="JU12" s="21"/>
      <c r="JV12" s="21" t="s">
        <v>58</v>
      </c>
      <c r="JW12" s="21"/>
      <c r="JX12" s="21"/>
      <c r="JY12" s="21"/>
      <c r="JZ12" s="21"/>
      <c r="KA12" s="21" t="s">
        <v>58</v>
      </c>
      <c r="KB12" s="21" t="s">
        <v>58</v>
      </c>
      <c r="KC12" s="21" t="s">
        <v>58</v>
      </c>
      <c r="KD12" s="21" t="s">
        <v>58</v>
      </c>
      <c r="KE12" s="21" t="s">
        <v>58</v>
      </c>
      <c r="KF12" s="21"/>
      <c r="KG12" s="21"/>
      <c r="KH12" s="21"/>
      <c r="KI12" s="21"/>
      <c r="KJ12" s="21"/>
      <c r="KK12" s="21"/>
      <c r="KL12" s="21"/>
      <c r="KM12" s="21"/>
      <c r="KN12" s="21"/>
      <c r="KO12" s="21"/>
      <c r="KP12" s="21"/>
      <c r="KQ12" s="21"/>
      <c r="KR12" s="21"/>
      <c r="KS12" s="21"/>
      <c r="KT12" s="21"/>
      <c r="KU12" s="21"/>
      <c r="KV12" s="21"/>
      <c r="KW12" s="21"/>
      <c r="KX12" s="21"/>
      <c r="KY12" s="21"/>
      <c r="KZ12" s="21"/>
      <c r="LA12" s="21"/>
      <c r="LB12" s="21"/>
      <c r="LC12" s="21"/>
      <c r="LD12" s="21"/>
      <c r="LE12" s="21"/>
      <c r="LF12" s="21"/>
      <c r="LG12" s="21" t="s">
        <v>58</v>
      </c>
      <c r="LH12" s="21"/>
      <c r="LI12" s="21"/>
      <c r="LJ12" s="21"/>
      <c r="LK12" s="21"/>
      <c r="LL12" s="21"/>
      <c r="LM12" s="21"/>
      <c r="LN12" s="21"/>
      <c r="LO12" s="21"/>
      <c r="LP12" s="21"/>
      <c r="LQ12" s="21"/>
      <c r="LR12" s="21"/>
      <c r="LS12" s="21"/>
      <c r="LT12" s="21"/>
      <c r="LU12" s="21"/>
      <c r="LV12" s="21"/>
      <c r="LW12" s="21"/>
      <c r="LX12" s="21"/>
      <c r="LY12" s="21"/>
      <c r="LZ12" s="21"/>
      <c r="MA12" s="21"/>
      <c r="MB12" s="21"/>
      <c r="MC12" s="21"/>
      <c r="MD12" s="21"/>
      <c r="ME12" s="21"/>
      <c r="MF12" s="21"/>
      <c r="MG12" s="21"/>
      <c r="MH12" s="21"/>
      <c r="MI12" s="21"/>
      <c r="MJ12" s="21" t="s">
        <v>58</v>
      </c>
      <c r="MK12" s="21"/>
      <c r="ML12" s="21"/>
      <c r="MM12" s="21" t="s">
        <v>58</v>
      </c>
      <c r="MN12" s="21" t="s">
        <v>58</v>
      </c>
      <c r="MO12" s="21"/>
      <c r="MP12" s="21"/>
      <c r="MQ12" s="21"/>
      <c r="MR12" s="21"/>
      <c r="MS12" s="21"/>
      <c r="MT12" s="21"/>
      <c r="MU12" s="21"/>
      <c r="MV12" s="21"/>
      <c r="MW12" s="21"/>
      <c r="MX12" s="21"/>
      <c r="MY12" s="21"/>
      <c r="MZ12" s="21"/>
      <c r="NA12" s="21"/>
      <c r="NB12" s="21"/>
      <c r="NC12" s="21"/>
      <c r="ND12" s="21"/>
      <c r="NE12" s="21"/>
      <c r="NF12" s="21"/>
      <c r="NG12" s="21"/>
      <c r="NH12" s="21"/>
      <c r="NI12" s="21"/>
      <c r="NJ12" s="31">
        <f t="array" aca="1" ref="NJ12" ca="1">SUMPRODUCT((OFFSET($A12,0,31*($A$5-1)+1,1,31)&lt;&gt;"")*(IF(OFFSET($A12,0,31*($A$5-1)+1,1,31)=$NK$6,0.5,1)*(OFFSET($A$6,0,31*($A$5-1)+1,1,31))))</f>
        <v>3</v>
      </c>
      <c r="NK12" s="32">
        <f t="array" aca="1" ref="NK12" ca="1">SUMPRODUCT((OFFSET($A12,0,1,1,372)&lt;&gt;"")*(IF(OFFSET($A12,0,1,1,372)=$NK$6,0.5,1)*(OFFSET($A$6,0,1,1,372))))</f>
        <v>25</v>
      </c>
      <c r="NL12" s="28">
        <v>28</v>
      </c>
      <c r="NM12" s="28">
        <f t="shared" ca="1" si="6"/>
        <v>3</v>
      </c>
      <c r="NN12" s="18">
        <f ca="1">SUMPRODUCT((OFFSET($A12,0,1,1,372)&lt;&gt;"")*(OFFSET($A$6,0,1,1,372))*((OFFSET($A12,0,1,1,372))=NN$8))</f>
        <v>0</v>
      </c>
      <c r="NO12" s="18">
        <f t="shared" ca="1" si="7"/>
        <v>25</v>
      </c>
      <c r="NP12" s="18">
        <f t="shared" ca="1" si="7"/>
        <v>0</v>
      </c>
      <c r="NQ12" s="18">
        <f t="shared" ca="1" si="7"/>
        <v>0</v>
      </c>
      <c r="NR12" s="18">
        <f t="shared" ca="1" si="7"/>
        <v>0</v>
      </c>
      <c r="NT12" s="47">
        <v>40940</v>
      </c>
      <c r="NU12" t="s">
        <v>62</v>
      </c>
    </row>
    <row r="13" spans="1:759" x14ac:dyDescent="0.25">
      <c r="A13" s="1" t="s">
        <v>54</v>
      </c>
      <c r="B13" s="21"/>
      <c r="C13" s="21"/>
      <c r="D13" s="21"/>
      <c r="E13" s="21"/>
      <c r="F13" s="21"/>
      <c r="G13" s="21"/>
      <c r="H13" s="21"/>
      <c r="I13" s="21"/>
      <c r="J13" s="21"/>
      <c r="K13" s="21"/>
      <c r="L13" s="21"/>
      <c r="M13" s="21"/>
      <c r="N13" s="21"/>
      <c r="O13" s="21"/>
      <c r="P13" s="21"/>
      <c r="Q13" s="21"/>
      <c r="R13" s="21" t="s">
        <v>59</v>
      </c>
      <c r="S13" s="21"/>
      <c r="T13" s="21" t="s">
        <v>59</v>
      </c>
      <c r="U13" s="21"/>
      <c r="V13" s="21"/>
      <c r="W13" s="21" t="s">
        <v>58</v>
      </c>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t="s">
        <v>59</v>
      </c>
      <c r="BP13" s="21"/>
      <c r="BQ13" s="21"/>
      <c r="BR13" s="21"/>
      <c r="BS13" s="21"/>
      <c r="BT13" s="21"/>
      <c r="BU13" s="21"/>
      <c r="BV13" s="21"/>
      <c r="BW13" s="21" t="s">
        <v>59</v>
      </c>
      <c r="BX13" s="21"/>
      <c r="BY13" s="21"/>
      <c r="BZ13" s="21"/>
      <c r="CA13" s="21"/>
      <c r="CB13" s="21"/>
      <c r="CC13" s="21"/>
      <c r="CD13" s="21"/>
      <c r="CE13" s="21"/>
      <c r="CF13" s="21"/>
      <c r="CG13" s="21" t="s">
        <v>59</v>
      </c>
      <c r="CH13" s="21"/>
      <c r="CI13" s="21"/>
      <c r="CJ13" s="21"/>
      <c r="CK13" s="21" t="s">
        <v>59</v>
      </c>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t="s">
        <v>59</v>
      </c>
      <c r="FM13" s="21"/>
      <c r="FN13" s="21"/>
      <c r="FO13" s="21"/>
      <c r="FP13" s="21"/>
      <c r="FQ13" s="21" t="s">
        <v>59</v>
      </c>
      <c r="FR13" s="21"/>
      <c r="FS13" s="21" t="s">
        <v>59</v>
      </c>
      <c r="FT13" s="21"/>
      <c r="FU13" s="21" t="s">
        <v>59</v>
      </c>
      <c r="FV13" s="21"/>
      <c r="FW13" s="21"/>
      <c r="FX13" s="21"/>
      <c r="FY13" s="21" t="s">
        <v>59</v>
      </c>
      <c r="FZ13" s="21"/>
      <c r="GA13" s="21"/>
      <c r="GB13" s="21"/>
      <c r="GC13" s="21"/>
      <c r="GD13" s="21"/>
      <c r="GE13" s="21"/>
      <c r="GF13" s="21"/>
      <c r="GG13" s="21" t="s">
        <v>59</v>
      </c>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c r="HU13" s="21"/>
      <c r="HV13" s="21" t="s">
        <v>59</v>
      </c>
      <c r="HW13" s="21"/>
      <c r="HX13" s="21"/>
      <c r="HY13" s="21"/>
      <c r="HZ13" s="21" t="s">
        <v>59</v>
      </c>
      <c r="IA13" s="21"/>
      <c r="IB13" s="21"/>
      <c r="IC13" s="21"/>
      <c r="ID13" s="21"/>
      <c r="IE13" s="21"/>
      <c r="IF13" s="21"/>
      <c r="IG13" s="21"/>
      <c r="IH13" s="21"/>
      <c r="II13" s="21"/>
      <c r="IJ13" s="21"/>
      <c r="IK13" s="21"/>
      <c r="IL13" s="21"/>
      <c r="IM13" s="21"/>
      <c r="IN13" s="21"/>
      <c r="IO13" s="21"/>
      <c r="IP13" s="21"/>
      <c r="IQ13" s="21"/>
      <c r="IR13" s="21"/>
      <c r="IS13" s="21"/>
      <c r="IT13" s="21"/>
      <c r="IU13" s="21"/>
      <c r="IV13" s="21"/>
      <c r="IW13" s="21"/>
      <c r="IX13" s="21" t="s">
        <v>59</v>
      </c>
      <c r="IY13" s="21"/>
      <c r="IZ13" s="21" t="s">
        <v>59</v>
      </c>
      <c r="JA13" s="21"/>
      <c r="JB13" s="21"/>
      <c r="JC13" s="21"/>
      <c r="JD13" s="21"/>
      <c r="JE13" s="21"/>
      <c r="JF13" s="21" t="s">
        <v>58</v>
      </c>
      <c r="JG13" s="21"/>
      <c r="JH13" s="21"/>
      <c r="JI13" s="21"/>
      <c r="JJ13" s="21"/>
      <c r="JK13" s="21"/>
      <c r="JL13" s="21"/>
      <c r="JM13" s="21"/>
      <c r="JN13" s="21"/>
      <c r="JO13" s="21"/>
      <c r="JP13" s="21"/>
      <c r="JQ13" s="21"/>
      <c r="JR13" s="21"/>
      <c r="JS13" s="21"/>
      <c r="JT13" s="21"/>
      <c r="JU13" s="21"/>
      <c r="JV13" s="21"/>
      <c r="JW13" s="21"/>
      <c r="JX13" s="21"/>
      <c r="JY13" s="21"/>
      <c r="JZ13" s="21"/>
      <c r="KA13" s="21"/>
      <c r="KB13" s="21"/>
      <c r="KC13" s="21"/>
      <c r="KD13" s="21"/>
      <c r="KE13" s="21"/>
      <c r="KF13" s="21"/>
      <c r="KG13" s="21"/>
      <c r="KH13" s="21"/>
      <c r="KI13" s="21"/>
      <c r="KJ13" s="21" t="s">
        <v>59</v>
      </c>
      <c r="KK13" s="21"/>
      <c r="KL13" s="21"/>
      <c r="KM13" s="21"/>
      <c r="KN13" s="21"/>
      <c r="KO13" s="21"/>
      <c r="KP13" s="21"/>
      <c r="KQ13" s="21"/>
      <c r="KR13" s="21"/>
      <c r="KS13" s="21"/>
      <c r="KT13" s="21"/>
      <c r="KU13" s="21"/>
      <c r="KV13" s="21" t="s">
        <v>59</v>
      </c>
      <c r="KW13" s="21"/>
      <c r="KX13" s="21"/>
      <c r="KY13" s="21"/>
      <c r="KZ13" s="21"/>
      <c r="LA13" s="21"/>
      <c r="LB13" s="21"/>
      <c r="LC13" s="21"/>
      <c r="LD13" s="21"/>
      <c r="LE13" s="21"/>
      <c r="LF13" s="21"/>
      <c r="LG13" s="21"/>
      <c r="LH13" s="21"/>
      <c r="LI13" s="21"/>
      <c r="LJ13" s="21"/>
      <c r="LK13" s="21"/>
      <c r="LL13" s="21"/>
      <c r="LM13" s="21"/>
      <c r="LN13" s="21"/>
      <c r="LO13" s="21"/>
      <c r="LP13" s="21"/>
      <c r="LQ13" s="21"/>
      <c r="LR13" s="21"/>
      <c r="LS13" s="21"/>
      <c r="LT13" s="21"/>
      <c r="LU13" s="21"/>
      <c r="LV13" s="21"/>
      <c r="LW13" s="21"/>
      <c r="LX13" s="21"/>
      <c r="LY13" s="21"/>
      <c r="LZ13" s="21"/>
      <c r="MA13" s="21"/>
      <c r="MB13" s="21"/>
      <c r="MC13" s="21"/>
      <c r="MD13" s="21"/>
      <c r="ME13" s="21"/>
      <c r="MF13" s="21"/>
      <c r="MG13" s="21"/>
      <c r="MH13" s="21"/>
      <c r="MI13" s="21"/>
      <c r="MJ13" s="21"/>
      <c r="MK13" s="21"/>
      <c r="ML13" s="21"/>
      <c r="MM13" s="21"/>
      <c r="MN13" s="21"/>
      <c r="MO13" s="21"/>
      <c r="MP13" s="21"/>
      <c r="MQ13" s="21"/>
      <c r="MR13" s="21"/>
      <c r="MS13" s="21"/>
      <c r="MT13" s="21"/>
      <c r="MU13" s="21"/>
      <c r="MV13" s="21"/>
      <c r="MW13" s="21"/>
      <c r="MX13" s="21"/>
      <c r="MY13" s="21"/>
      <c r="MZ13" s="21"/>
      <c r="NA13" s="21"/>
      <c r="NB13" s="21"/>
      <c r="NC13" s="21"/>
      <c r="ND13" s="21"/>
      <c r="NE13" s="21"/>
      <c r="NF13" s="21"/>
      <c r="NG13" s="21"/>
      <c r="NH13" s="21"/>
      <c r="NI13" s="21"/>
      <c r="NJ13" s="31">
        <f t="array" aca="1" ref="NJ13" ca="1">SUMPRODUCT((OFFSET($A13,0,31*($A$5-1)+1,1,31)&lt;&gt;"")*(IF(OFFSET($A13,0,31*($A$5-1)+1,1,31)=$NK$6,0.5,1)*(OFFSET($A$6,0,31*($A$5-1)+1,1,31))))</f>
        <v>0</v>
      </c>
      <c r="NK13" s="32">
        <f t="array" aca="1" ref="NK13" ca="1">SUMPRODUCT((OFFSET($A13,0,1,1,372)&lt;&gt;"")*(IF(OFFSET($A13,0,1,1,372)=$NK$6,0.5,1)*(OFFSET($A$6,0,1,1,372))))</f>
        <v>11</v>
      </c>
      <c r="NL13" s="28">
        <v>41</v>
      </c>
      <c r="NM13" s="28">
        <f t="shared" ca="1" si="6"/>
        <v>30</v>
      </c>
      <c r="NN13" s="18">
        <f t="shared" ref="NN13:NR14" ca="1" si="8">SUMPRODUCT((OFFSET($A13,0,1,1,372)&lt;&gt;"")*(OFFSET($A$6,0,1,1,372))*((OFFSET($A13,0,1,1,372))=NN$8))</f>
        <v>0</v>
      </c>
      <c r="NO13" s="18">
        <f t="shared" ca="1" si="8"/>
        <v>2</v>
      </c>
      <c r="NP13" s="18">
        <f t="shared" ca="1" si="8"/>
        <v>0</v>
      </c>
      <c r="NQ13" s="18">
        <f t="shared" ca="1" si="8"/>
        <v>0</v>
      </c>
      <c r="NR13" s="18">
        <f t="shared" ca="1" si="8"/>
        <v>18</v>
      </c>
      <c r="NT13" s="46">
        <v>41334</v>
      </c>
      <c r="NU13" t="s">
        <v>63</v>
      </c>
      <c r="NV13" s="24"/>
      <c r="NW13" s="23"/>
      <c r="NX13" s="23"/>
      <c r="NY13" s="23"/>
      <c r="NZ13" s="23"/>
      <c r="OA13" s="23"/>
      <c r="OB13" s="23"/>
      <c r="OC13" s="23"/>
      <c r="OD13" s="23"/>
      <c r="OE13" s="23"/>
      <c r="OF13" s="23"/>
      <c r="OG13" s="23"/>
      <c r="OH13" s="23"/>
      <c r="OI13" s="24"/>
    </row>
    <row r="14" spans="1:759" x14ac:dyDescent="0.25">
      <c r="A14" s="1" t="s">
        <v>55</v>
      </c>
      <c r="B14" s="21"/>
      <c r="C14" s="21"/>
      <c r="D14" s="21"/>
      <c r="E14" s="21"/>
      <c r="F14" s="21" t="s">
        <v>58</v>
      </c>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t="s">
        <v>58</v>
      </c>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t="s">
        <v>58</v>
      </c>
      <c r="CE14" s="21"/>
      <c r="CF14" s="21"/>
      <c r="CG14" s="21"/>
      <c r="CH14" s="21"/>
      <c r="CI14" s="21"/>
      <c r="CJ14" s="21"/>
      <c r="CK14" s="21"/>
      <c r="CL14" s="21"/>
      <c r="CM14" s="21"/>
      <c r="CN14" s="21"/>
      <c r="CO14" s="21"/>
      <c r="CP14" s="21"/>
      <c r="CQ14" s="21"/>
      <c r="CR14" s="21"/>
      <c r="CS14" s="21"/>
      <c r="CT14" s="21"/>
      <c r="CU14" s="21" t="s">
        <v>58</v>
      </c>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t="s">
        <v>58</v>
      </c>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t="s">
        <v>58</v>
      </c>
      <c r="HF14" s="21"/>
      <c r="HG14" s="21"/>
      <c r="HH14" s="21"/>
      <c r="HI14" s="21"/>
      <c r="HJ14" s="21"/>
      <c r="HK14" s="21"/>
      <c r="HL14" s="21"/>
      <c r="HM14" s="21"/>
      <c r="HN14" s="21"/>
      <c r="HO14" s="21"/>
      <c r="HP14" s="21"/>
      <c r="HQ14" s="21" t="s">
        <v>58</v>
      </c>
      <c r="HR14" s="21"/>
      <c r="HS14" s="21"/>
      <c r="HT14" s="21"/>
      <c r="HU14" s="21"/>
      <c r="HV14" s="21"/>
      <c r="HW14" s="21"/>
      <c r="HX14" s="21"/>
      <c r="HY14" s="21"/>
      <c r="HZ14" s="21"/>
      <c r="IA14" s="21"/>
      <c r="IB14" s="21"/>
      <c r="IC14" s="21"/>
      <c r="ID14" s="21"/>
      <c r="IE14" s="21"/>
      <c r="IF14" s="21"/>
      <c r="IG14" s="21"/>
      <c r="IH14" s="21"/>
      <c r="II14" s="21"/>
      <c r="IJ14" s="21"/>
      <c r="IK14" s="21"/>
      <c r="IL14" s="21"/>
      <c r="IM14" s="21"/>
      <c r="IN14" s="21"/>
      <c r="IO14" s="21"/>
      <c r="IP14" s="21"/>
      <c r="IQ14" s="21"/>
      <c r="IR14" s="21"/>
      <c r="IS14" s="21"/>
      <c r="IT14" s="21"/>
      <c r="IU14" s="21"/>
      <c r="IV14" s="21"/>
      <c r="IW14" s="21"/>
      <c r="IX14" s="21"/>
      <c r="IY14" s="21"/>
      <c r="IZ14" s="21"/>
      <c r="JA14" s="21"/>
      <c r="JB14" s="21"/>
      <c r="JC14" s="21"/>
      <c r="JD14" s="21"/>
      <c r="JE14" s="21"/>
      <c r="JF14" s="21"/>
      <c r="JG14" s="21"/>
      <c r="JH14" s="21"/>
      <c r="JI14" s="21"/>
      <c r="JJ14" s="21"/>
      <c r="JK14" s="21"/>
      <c r="JL14" s="21"/>
      <c r="JM14" s="21"/>
      <c r="JN14" s="21"/>
      <c r="JO14" s="21"/>
      <c r="JP14" s="21"/>
      <c r="JQ14" s="21"/>
      <c r="JR14" s="21"/>
      <c r="JS14" s="21"/>
      <c r="JT14" s="21"/>
      <c r="JU14" s="21"/>
      <c r="JV14" s="21"/>
      <c r="JW14" s="21"/>
      <c r="JX14" s="21"/>
      <c r="JY14" s="21"/>
      <c r="JZ14" s="21"/>
      <c r="KA14" s="21"/>
      <c r="KB14" s="21"/>
      <c r="KC14" s="21"/>
      <c r="KD14" s="21"/>
      <c r="KE14" s="21"/>
      <c r="KF14" s="21"/>
      <c r="KG14" s="21"/>
      <c r="KH14" s="21"/>
      <c r="KI14" s="21"/>
      <c r="KJ14" s="21"/>
      <c r="KK14" s="21"/>
      <c r="KL14" s="21"/>
      <c r="KM14" s="21"/>
      <c r="KN14" s="21"/>
      <c r="KO14" s="21"/>
      <c r="KP14" s="21"/>
      <c r="KQ14" s="21"/>
      <c r="KR14" s="21"/>
      <c r="KS14" s="21"/>
      <c r="KT14" s="21"/>
      <c r="KU14" s="21"/>
      <c r="KV14" s="21"/>
      <c r="KW14" s="21"/>
      <c r="KX14" s="21"/>
      <c r="KY14" s="21"/>
      <c r="KZ14" s="21"/>
      <c r="LA14" s="21"/>
      <c r="LB14" s="21"/>
      <c r="LC14" s="21"/>
      <c r="LD14" s="21"/>
      <c r="LE14" s="21"/>
      <c r="LF14" s="21"/>
      <c r="LG14" s="21"/>
      <c r="LH14" s="21"/>
      <c r="LI14" s="21"/>
      <c r="LJ14" s="21"/>
      <c r="LK14" s="21"/>
      <c r="LL14" s="21"/>
      <c r="LM14" s="21"/>
      <c r="LN14" s="21"/>
      <c r="LO14" s="21"/>
      <c r="LP14" s="21"/>
      <c r="LQ14" s="21"/>
      <c r="LR14" s="21"/>
      <c r="LS14" s="21"/>
      <c r="LT14" s="21"/>
      <c r="LU14" s="21"/>
      <c r="LV14" s="21"/>
      <c r="LW14" s="21"/>
      <c r="LX14" s="21"/>
      <c r="LY14" s="21"/>
      <c r="LZ14" s="21"/>
      <c r="MA14" s="21"/>
      <c r="MB14" s="21"/>
      <c r="MC14" s="21"/>
      <c r="MD14" s="21"/>
      <c r="ME14" s="21"/>
      <c r="MF14" s="21"/>
      <c r="MG14" s="21"/>
      <c r="MH14" s="21"/>
      <c r="MI14" s="21"/>
      <c r="MJ14" s="21" t="s">
        <v>58</v>
      </c>
      <c r="MK14" s="21"/>
      <c r="ML14" s="21"/>
      <c r="MM14" s="21"/>
      <c r="MN14" s="21"/>
      <c r="MO14" s="21"/>
      <c r="MP14" s="21"/>
      <c r="MQ14" s="21"/>
      <c r="MR14" s="21"/>
      <c r="MS14" s="21"/>
      <c r="MT14" s="21"/>
      <c r="MU14" s="21"/>
      <c r="MV14" s="21"/>
      <c r="MW14" s="21"/>
      <c r="MX14" s="21"/>
      <c r="MY14" s="21"/>
      <c r="MZ14" s="21"/>
      <c r="NA14" s="21"/>
      <c r="NB14" s="21"/>
      <c r="NC14" s="21"/>
      <c r="ND14" s="21"/>
      <c r="NE14" s="21"/>
      <c r="NF14" s="21"/>
      <c r="NG14" s="21"/>
      <c r="NH14" s="21"/>
      <c r="NI14" s="21"/>
      <c r="NJ14" s="31">
        <f t="array" aca="1" ref="NJ14" ca="1">SUMPRODUCT((OFFSET($A14,0,31*($A$5-1)+1,1,31)&lt;&gt;"")*(IF(OFFSET($A14,0,31*($A$5-1)+1,1,31)=$NK$6,0.5,1)*(OFFSET($A$6,0,31*($A$5-1)+1,1,31))))</f>
        <v>1</v>
      </c>
      <c r="NK14" s="32">
        <f t="array" aca="1" ref="NK14" ca="1">SUMPRODUCT((OFFSET($A14,0,1,1,372)&lt;&gt;"")*(IF(OFFSET($A14,0,1,1,372)=$NK$6,0.5,1)*(OFFSET($A$6,0,1,1,372))))</f>
        <v>8</v>
      </c>
      <c r="NL14" s="28">
        <v>41</v>
      </c>
      <c r="NM14" s="28">
        <f t="shared" ca="1" si="6"/>
        <v>33</v>
      </c>
      <c r="NN14" s="18">
        <f t="shared" ca="1" si="8"/>
        <v>0</v>
      </c>
      <c r="NO14" s="18">
        <f t="shared" ca="1" si="8"/>
        <v>8</v>
      </c>
      <c r="NP14" s="18">
        <f t="shared" ca="1" si="8"/>
        <v>0</v>
      </c>
      <c r="NQ14" s="18">
        <f t="shared" ca="1" si="8"/>
        <v>0</v>
      </c>
      <c r="NR14" s="18">
        <f t="shared" ca="1" si="8"/>
        <v>0</v>
      </c>
      <c r="NT14" s="46">
        <v>43108</v>
      </c>
      <c r="NU14" t="s">
        <v>61</v>
      </c>
    </row>
    <row r="15" spans="1:759" x14ac:dyDescent="0.25">
      <c r="A15" s="1" t="s">
        <v>64</v>
      </c>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c r="DV15" s="21"/>
      <c r="DW15" s="21"/>
      <c r="DX15" s="21"/>
      <c r="DY15" s="21"/>
      <c r="DZ15" s="21"/>
      <c r="EA15" s="21"/>
      <c r="EB15" s="21"/>
      <c r="EC15" s="21"/>
      <c r="ED15" s="21"/>
      <c r="EE15" s="21"/>
      <c r="EF15" s="21"/>
      <c r="EG15" s="21"/>
      <c r="EH15" s="21"/>
      <c r="EI15" s="21"/>
      <c r="EJ15" s="21"/>
      <c r="EK15" s="21"/>
      <c r="EL15" s="21"/>
      <c r="EM15" s="21"/>
      <c r="EN15" s="21"/>
      <c r="EO15" s="21"/>
      <c r="EP15" s="21"/>
      <c r="EQ15" s="21"/>
      <c r="ER15" s="21"/>
      <c r="ES15" s="21"/>
      <c r="ET15" s="21"/>
      <c r="EU15" s="21"/>
      <c r="EV15" s="21"/>
      <c r="EW15" s="21"/>
      <c r="EX15" s="21"/>
      <c r="EY15" s="21"/>
      <c r="EZ15" s="21"/>
      <c r="FA15" s="21"/>
      <c r="FB15" s="21"/>
      <c r="FC15" s="21"/>
      <c r="FD15" s="21"/>
      <c r="FE15" s="21"/>
      <c r="FF15" s="21"/>
      <c r="FG15" s="21"/>
      <c r="FH15" s="21"/>
      <c r="FI15" s="21"/>
      <c r="FJ15" s="21"/>
      <c r="FK15" s="21"/>
      <c r="FL15" s="21"/>
      <c r="FM15" s="21"/>
      <c r="FN15" s="21"/>
      <c r="FO15" s="21"/>
      <c r="FP15" s="21"/>
      <c r="FQ15" s="21" t="s">
        <v>0</v>
      </c>
      <c r="FR15" s="21" t="s">
        <v>0</v>
      </c>
      <c r="FS15" s="21"/>
      <c r="FT15" s="21"/>
      <c r="FU15" s="21"/>
      <c r="FV15" s="21"/>
      <c r="FW15" s="21"/>
      <c r="FX15" s="21"/>
      <c r="FY15" s="21"/>
      <c r="FZ15" s="21"/>
      <c r="GA15" s="21"/>
      <c r="GB15" s="21"/>
      <c r="GC15" s="21"/>
      <c r="GD15" s="21"/>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t="s">
        <v>58</v>
      </c>
      <c r="HJ15" s="21"/>
      <c r="HK15" s="21"/>
      <c r="HL15" s="21"/>
      <c r="HM15" s="21"/>
      <c r="HN15" s="21"/>
      <c r="HO15" s="21"/>
      <c r="HP15" s="21"/>
      <c r="HQ15" s="21"/>
      <c r="HR15" s="21"/>
      <c r="HS15" s="21"/>
      <c r="HT15" s="21"/>
      <c r="HU15" s="21"/>
      <c r="HV15" s="21"/>
      <c r="HW15" s="21"/>
      <c r="HX15" s="21"/>
      <c r="HY15" s="21"/>
      <c r="HZ15" s="21"/>
      <c r="IA15" s="21"/>
      <c r="IB15" s="21"/>
      <c r="IC15" s="21"/>
      <c r="ID15" s="21"/>
      <c r="IE15" s="21"/>
      <c r="IF15" s="21"/>
      <c r="IG15" s="21"/>
      <c r="IH15" s="21"/>
      <c r="II15" s="21"/>
      <c r="IJ15" s="21"/>
      <c r="IK15" s="21"/>
      <c r="IL15" s="21"/>
      <c r="IM15" s="21"/>
      <c r="IN15" s="21"/>
      <c r="IO15" s="21"/>
      <c r="IP15" s="21"/>
      <c r="IQ15" s="21" t="s">
        <v>58</v>
      </c>
      <c r="IR15" s="21"/>
      <c r="IS15" s="21"/>
      <c r="IT15" s="21"/>
      <c r="IU15" s="21"/>
      <c r="IV15" s="21"/>
      <c r="IW15" s="21"/>
      <c r="IX15" s="21"/>
      <c r="IY15" s="21"/>
      <c r="IZ15" s="21"/>
      <c r="JA15" s="21"/>
      <c r="JB15" s="21" t="s">
        <v>58</v>
      </c>
      <c r="JC15" s="21"/>
      <c r="JD15" s="21"/>
      <c r="JE15" s="21"/>
      <c r="JF15" s="21"/>
      <c r="JG15" s="21"/>
      <c r="JH15" s="21"/>
      <c r="JI15" s="21"/>
      <c r="JJ15" s="21"/>
      <c r="JK15" s="21"/>
      <c r="JL15" s="21" t="s">
        <v>58</v>
      </c>
      <c r="JM15" s="21"/>
      <c r="JN15" s="21"/>
      <c r="JO15" s="21"/>
      <c r="JP15" s="21"/>
      <c r="JQ15" s="21"/>
      <c r="JR15" s="21"/>
      <c r="JS15" s="21"/>
      <c r="JT15" s="21"/>
      <c r="JU15" s="21"/>
      <c r="JV15" s="21"/>
      <c r="JW15" s="21" t="s">
        <v>58</v>
      </c>
      <c r="JX15" s="21"/>
      <c r="JY15" s="21"/>
      <c r="JZ15" s="21"/>
      <c r="KA15" s="21" t="s">
        <v>58</v>
      </c>
      <c r="KB15" s="21"/>
      <c r="KC15" s="21"/>
      <c r="KD15" s="21"/>
      <c r="KE15" s="21"/>
      <c r="KF15" s="21"/>
      <c r="KG15" s="21"/>
      <c r="KH15" s="21"/>
      <c r="KI15" s="21"/>
      <c r="KJ15" s="21"/>
      <c r="KK15" s="21"/>
      <c r="KL15" s="21"/>
      <c r="KM15" s="21"/>
      <c r="KN15" s="21"/>
      <c r="KO15" s="21"/>
      <c r="KP15" s="21"/>
      <c r="KQ15" s="21"/>
      <c r="KR15" s="21"/>
      <c r="KS15" s="21"/>
      <c r="KT15" s="21"/>
      <c r="KU15" s="21"/>
      <c r="KV15" s="21"/>
      <c r="KW15" s="21"/>
      <c r="KX15" s="21"/>
      <c r="KY15" s="21"/>
      <c r="KZ15" s="21"/>
      <c r="LA15" s="21"/>
      <c r="LB15" s="21"/>
      <c r="LC15" s="21"/>
      <c r="LD15" s="21"/>
      <c r="LE15" s="21"/>
      <c r="LF15" s="21"/>
      <c r="LG15" s="21"/>
      <c r="LH15" s="21"/>
      <c r="LI15" s="21"/>
      <c r="LJ15" s="21"/>
      <c r="LK15" s="21"/>
      <c r="LL15" s="21"/>
      <c r="LM15" s="21"/>
      <c r="LN15" s="21"/>
      <c r="LO15" s="21"/>
      <c r="LP15" s="21"/>
      <c r="LQ15" s="21"/>
      <c r="LR15" s="21"/>
      <c r="LS15" s="21"/>
      <c r="LT15" s="21"/>
      <c r="LU15" s="21"/>
      <c r="LV15" s="21"/>
      <c r="LW15" s="21"/>
      <c r="LX15" s="21" t="s">
        <v>58</v>
      </c>
      <c r="LY15" s="21"/>
      <c r="LZ15" s="21"/>
      <c r="MA15" s="21"/>
      <c r="MB15" s="21"/>
      <c r="MC15" s="21"/>
      <c r="MD15" s="21"/>
      <c r="ME15" s="21"/>
      <c r="MF15" s="21"/>
      <c r="MG15" s="21"/>
      <c r="MH15" s="21"/>
      <c r="MI15" s="21"/>
      <c r="MJ15" s="21"/>
      <c r="MK15" s="21"/>
      <c r="ML15" s="21"/>
      <c r="MM15" s="21"/>
      <c r="MN15" s="21"/>
      <c r="MO15" s="21"/>
      <c r="MP15" s="21"/>
      <c r="MQ15" s="21"/>
      <c r="MR15" s="21"/>
      <c r="MS15" s="21"/>
      <c r="MT15" s="21" t="s">
        <v>58</v>
      </c>
      <c r="MU15" s="21" t="s">
        <v>58</v>
      </c>
      <c r="MV15" s="21" t="s">
        <v>58</v>
      </c>
      <c r="MW15" s="21"/>
      <c r="MX15" s="21"/>
      <c r="MY15" s="21"/>
      <c r="MZ15" s="21"/>
      <c r="NA15" s="21"/>
      <c r="NB15" s="21"/>
      <c r="NC15" s="21"/>
      <c r="ND15" s="21"/>
      <c r="NE15" s="21"/>
      <c r="NF15" s="21"/>
      <c r="NG15" s="21"/>
      <c r="NH15" s="21"/>
      <c r="NI15" s="21"/>
      <c r="NJ15" s="31">
        <f t="array" aca="1" ref="NJ15" ca="1">SUMPRODUCT((OFFSET($A15,0,31*($A$5-1)+1,1,31)&lt;&gt;"")*(IF(OFFSET($A15,0,31*($A$5-1)+1,1,31)=$NK$6,0.5,1)*(OFFSET($A$6,0,31*($A$5-1)+1,1,31))))</f>
        <v>3</v>
      </c>
      <c r="NK15" s="32">
        <f t="array" aca="1" ref="NK15" ca="1">SUMPRODUCT((OFFSET($A15,0,1,1,372)&lt;&gt;"")*(IF(OFFSET($A15,0,1,1,372)=$NK$6,0.5,1)*(OFFSET($A$6,0,1,1,372))))</f>
        <v>12</v>
      </c>
      <c r="NL15" s="28">
        <v>12</v>
      </c>
      <c r="NM15" s="28">
        <f t="shared" ca="1" si="6"/>
        <v>0</v>
      </c>
      <c r="NN15" s="18">
        <f t="shared" ref="NN15:NR18" ca="1" si="9">SUMPRODUCT((OFFSET($A15,0,1,1,372)&lt;&gt;"")*(OFFSET($A$6,0,1,1,372))*((OFFSET($A15,0,1,1,372))=NN$8))</f>
        <v>0</v>
      </c>
      <c r="NO15" s="18">
        <f t="shared" ca="1" si="9"/>
        <v>12</v>
      </c>
      <c r="NP15" s="18">
        <f t="shared" ca="1" si="9"/>
        <v>0</v>
      </c>
      <c r="NQ15" s="18">
        <f t="shared" ca="1" si="9"/>
        <v>0</v>
      </c>
      <c r="NR15" s="18">
        <f t="shared" ca="1" si="9"/>
        <v>0</v>
      </c>
      <c r="NT15" s="46">
        <v>45222</v>
      </c>
      <c r="NU15" t="s">
        <v>68</v>
      </c>
    </row>
    <row r="16" spans="1:759" x14ac:dyDescent="0.25">
      <c r="A16" s="1" t="s">
        <v>66</v>
      </c>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t="s">
        <v>0</v>
      </c>
      <c r="IF16" s="21" t="s">
        <v>0</v>
      </c>
      <c r="IG16" s="21" t="s">
        <v>0</v>
      </c>
      <c r="IH16" s="21"/>
      <c r="II16" s="21"/>
      <c r="IJ16" s="21" t="s">
        <v>0</v>
      </c>
      <c r="IK16" s="21"/>
      <c r="IL16" s="21"/>
      <c r="IM16" s="21"/>
      <c r="IN16" s="21"/>
      <c r="IO16" s="21"/>
      <c r="IP16" s="21"/>
      <c r="IQ16" s="21"/>
      <c r="IR16" s="21"/>
      <c r="IS16" s="21"/>
      <c r="IT16" s="21"/>
      <c r="IU16" s="21"/>
      <c r="IV16" s="21"/>
      <c r="IW16" s="21"/>
      <c r="IX16" s="21"/>
      <c r="IY16" s="21"/>
      <c r="IZ16" s="21"/>
      <c r="JA16" s="21"/>
      <c r="JB16" s="21"/>
      <c r="JC16" s="21"/>
      <c r="JD16" s="21"/>
      <c r="JE16" s="21"/>
      <c r="JF16" s="21"/>
      <c r="JG16" s="21"/>
      <c r="JH16" s="21"/>
      <c r="JI16" s="21"/>
      <c r="JJ16" s="21"/>
      <c r="JK16" s="21"/>
      <c r="JL16" s="21"/>
      <c r="JM16" s="21"/>
      <c r="JN16" s="21"/>
      <c r="JO16" s="21"/>
      <c r="JP16" s="21"/>
      <c r="JQ16" s="21"/>
      <c r="JR16" s="21"/>
      <c r="JS16" s="21"/>
      <c r="JT16" s="21"/>
      <c r="JU16" s="21"/>
      <c r="JV16" s="21"/>
      <c r="JW16" s="21"/>
      <c r="JX16" s="21"/>
      <c r="JY16" s="21"/>
      <c r="JZ16" s="21"/>
      <c r="KA16" s="21"/>
      <c r="KB16" s="21"/>
      <c r="KC16" s="21"/>
      <c r="KD16" s="21"/>
      <c r="KE16" s="21"/>
      <c r="KF16" s="21"/>
      <c r="KG16" s="21"/>
      <c r="KH16" s="21"/>
      <c r="KI16" s="21"/>
      <c r="KJ16" s="21"/>
      <c r="KK16" s="21"/>
      <c r="KL16" s="21"/>
      <c r="KM16" s="21"/>
      <c r="KN16" s="21"/>
      <c r="KO16" s="21"/>
      <c r="KP16" s="21"/>
      <c r="KQ16" s="21"/>
      <c r="KR16" s="21"/>
      <c r="KS16" s="21"/>
      <c r="KT16" s="21"/>
      <c r="KU16" s="21"/>
      <c r="KV16" s="21"/>
      <c r="KW16" s="21"/>
      <c r="KX16" s="21"/>
      <c r="KY16" s="21"/>
      <c r="KZ16" s="21"/>
      <c r="LA16" s="21"/>
      <c r="LB16" s="21"/>
      <c r="LC16" s="21"/>
      <c r="LD16" s="21"/>
      <c r="LE16" s="21"/>
      <c r="LF16" s="21"/>
      <c r="LG16" s="21"/>
      <c r="LH16" s="21"/>
      <c r="LI16" s="21"/>
      <c r="LJ16" s="21"/>
      <c r="LK16" s="21"/>
      <c r="LL16" s="21"/>
      <c r="LM16" s="21"/>
      <c r="LN16" s="21"/>
      <c r="LO16" s="21"/>
      <c r="LP16" s="21"/>
      <c r="LQ16" s="21"/>
      <c r="LR16" s="21"/>
      <c r="LS16" s="21"/>
      <c r="LT16" s="21"/>
      <c r="LU16" s="21"/>
      <c r="LV16" s="21"/>
      <c r="LW16" s="21"/>
      <c r="LX16" s="21"/>
      <c r="LY16" s="21"/>
      <c r="LZ16" s="21"/>
      <c r="MA16" s="21"/>
      <c r="MB16" s="21"/>
      <c r="MC16" s="21"/>
      <c r="MD16" s="21"/>
      <c r="ME16" s="21"/>
      <c r="MF16" s="21"/>
      <c r="MG16" s="21"/>
      <c r="MH16" s="21"/>
      <c r="MI16" s="21"/>
      <c r="MJ16" s="21"/>
      <c r="MK16" s="21"/>
      <c r="ML16" s="21"/>
      <c r="MM16" s="21"/>
      <c r="MN16" s="21"/>
      <c r="MO16" s="21"/>
      <c r="MP16" s="21"/>
      <c r="MQ16" s="21"/>
      <c r="MR16" s="21"/>
      <c r="MS16" s="21"/>
      <c r="MT16" s="21"/>
      <c r="MU16" s="21"/>
      <c r="MV16" s="21"/>
      <c r="MW16" s="21"/>
      <c r="MX16" s="21"/>
      <c r="MY16" s="21"/>
      <c r="MZ16" s="21"/>
      <c r="NA16" s="21"/>
      <c r="NB16" s="21"/>
      <c r="NC16" s="21"/>
      <c r="ND16" s="21"/>
      <c r="NE16" s="21" t="s">
        <v>58</v>
      </c>
      <c r="NF16" s="21"/>
      <c r="NG16" s="21"/>
      <c r="NH16" s="21"/>
      <c r="NI16" s="21" t="s">
        <v>58</v>
      </c>
      <c r="NJ16" s="31">
        <f t="array" aca="1" ref="NJ16" ca="1">SUMPRODUCT((OFFSET($A16,0,31*($A$5-1)+1,1,31)&lt;&gt;"")*(IF(OFFSET($A16,0,31*($A$5-1)+1,1,31)=$NK$6,0.5,1)*(OFFSET($A$6,0,31*($A$5-1)+1,1,31))))</f>
        <v>2</v>
      </c>
      <c r="NK16" s="32">
        <f t="array" aca="1" ref="NK16" ca="1">SUMPRODUCT((OFFSET($A16,0,1,1,372)&lt;&gt;"")*(IF(OFFSET($A16,0,1,1,372)=$NK$6,0.5,1)*(OFFSET($A$6,0,1,1,372))))</f>
        <v>6</v>
      </c>
      <c r="NL16" s="28">
        <v>12</v>
      </c>
      <c r="NM16" s="28">
        <f t="shared" ca="1" si="6"/>
        <v>6</v>
      </c>
      <c r="NN16" s="18">
        <f t="shared" ca="1" si="9"/>
        <v>0</v>
      </c>
      <c r="NO16" s="18">
        <f t="shared" ca="1" si="9"/>
        <v>6</v>
      </c>
      <c r="NP16" s="18">
        <f t="shared" ca="1" si="9"/>
        <v>0</v>
      </c>
      <c r="NQ16" s="18">
        <f t="shared" ca="1" si="9"/>
        <v>0</v>
      </c>
      <c r="NR16" s="18">
        <f t="shared" ca="1" si="9"/>
        <v>0</v>
      </c>
      <c r="NT16" s="46">
        <v>45612</v>
      </c>
      <c r="NU16" t="s">
        <v>69</v>
      </c>
    </row>
    <row r="17" spans="1:382" x14ac:dyDescent="0.25">
      <c r="A17" s="1"/>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c r="IK17" s="21"/>
      <c r="IL17" s="21"/>
      <c r="IM17" s="21"/>
      <c r="IN17" s="21"/>
      <c r="IO17" s="21"/>
      <c r="IP17" s="21"/>
      <c r="IQ17" s="21"/>
      <c r="IR17" s="21"/>
      <c r="IS17" s="21"/>
      <c r="IT17" s="21"/>
      <c r="IU17" s="21"/>
      <c r="IV17" s="21"/>
      <c r="IW17" s="21"/>
      <c r="IX17" s="21"/>
      <c r="IY17" s="21"/>
      <c r="IZ17" s="21"/>
      <c r="JA17" s="21"/>
      <c r="JB17" s="21"/>
      <c r="JC17" s="21"/>
      <c r="JD17" s="21"/>
      <c r="JE17" s="21"/>
      <c r="JF17" s="21"/>
      <c r="JG17" s="21"/>
      <c r="JH17" s="21"/>
      <c r="JI17" s="21"/>
      <c r="JJ17" s="21"/>
      <c r="JK17" s="21"/>
      <c r="JL17" s="21"/>
      <c r="JM17" s="21"/>
      <c r="JN17" s="21"/>
      <c r="JO17" s="21"/>
      <c r="JP17" s="21"/>
      <c r="JQ17" s="21"/>
      <c r="JR17" s="21"/>
      <c r="JS17" s="21"/>
      <c r="JT17" s="21"/>
      <c r="JU17" s="21"/>
      <c r="JV17" s="21"/>
      <c r="JW17" s="21"/>
      <c r="JX17" s="21"/>
      <c r="JY17" s="21"/>
      <c r="JZ17" s="21"/>
      <c r="KA17" s="21"/>
      <c r="KB17" s="21"/>
      <c r="KC17" s="21"/>
      <c r="KD17" s="21"/>
      <c r="KE17" s="21"/>
      <c r="KF17" s="21"/>
      <c r="KG17" s="21"/>
      <c r="KH17" s="21"/>
      <c r="KI17" s="21"/>
      <c r="KJ17" s="21"/>
      <c r="KK17" s="21"/>
      <c r="KL17" s="21"/>
      <c r="KM17" s="21"/>
      <c r="KN17" s="21"/>
      <c r="KO17" s="21"/>
      <c r="KP17" s="21"/>
      <c r="KQ17" s="21"/>
      <c r="KR17" s="21"/>
      <c r="KS17" s="21"/>
      <c r="KT17" s="21"/>
      <c r="KU17" s="21"/>
      <c r="KV17" s="21"/>
      <c r="KW17" s="21"/>
      <c r="KX17" s="21"/>
      <c r="KY17" s="21"/>
      <c r="KZ17" s="21"/>
      <c r="LA17" s="21"/>
      <c r="LB17" s="21"/>
      <c r="LC17" s="21"/>
      <c r="LD17" s="21"/>
      <c r="LE17" s="21"/>
      <c r="LF17" s="21"/>
      <c r="LG17" s="21"/>
      <c r="LH17" s="21"/>
      <c r="LI17" s="21"/>
      <c r="LJ17" s="21"/>
      <c r="LK17" s="21"/>
      <c r="LL17" s="21"/>
      <c r="LM17" s="21"/>
      <c r="LN17" s="21"/>
      <c r="LO17" s="21"/>
      <c r="LP17" s="21"/>
      <c r="LQ17" s="21"/>
      <c r="LR17" s="21"/>
      <c r="LS17" s="21"/>
      <c r="LT17" s="21"/>
      <c r="LU17" s="21"/>
      <c r="LV17" s="21"/>
      <c r="LW17" s="21"/>
      <c r="LX17" s="21"/>
      <c r="LY17" s="21"/>
      <c r="LZ17" s="21"/>
      <c r="MA17" s="21"/>
      <c r="MB17" s="21"/>
      <c r="MC17" s="21"/>
      <c r="MD17" s="21"/>
      <c r="ME17" s="21"/>
      <c r="MF17" s="21"/>
      <c r="MG17" s="21"/>
      <c r="MH17" s="21"/>
      <c r="MI17" s="21"/>
      <c r="MJ17" s="21"/>
      <c r="MK17" s="21"/>
      <c r="ML17" s="21"/>
      <c r="MM17" s="21"/>
      <c r="MN17" s="21"/>
      <c r="MO17" s="21"/>
      <c r="MP17" s="21"/>
      <c r="MQ17" s="21"/>
      <c r="MR17" s="21"/>
      <c r="MS17" s="21"/>
      <c r="MT17" s="21"/>
      <c r="MU17" s="21"/>
      <c r="MV17" s="21"/>
      <c r="MW17" s="21"/>
      <c r="MX17" s="21"/>
      <c r="MY17" s="21"/>
      <c r="MZ17" s="21"/>
      <c r="NA17" s="21"/>
      <c r="NB17" s="21"/>
      <c r="NC17" s="21"/>
      <c r="ND17" s="21"/>
      <c r="NE17" s="21"/>
      <c r="NF17" s="21"/>
      <c r="NG17" s="21"/>
      <c r="NH17" s="21"/>
      <c r="NI17" s="21"/>
      <c r="NJ17" s="31">
        <f t="array" aca="1" ref="NJ17" ca="1">SUMPRODUCT((OFFSET($A17,0,31*($A$5-1)+1,1,31)&lt;&gt;"")*(IF(OFFSET($A17,0,31*($A$5-1)+1,1,31)=$NK$6,0.5,1)*(OFFSET($A$6,0,31*($A$5-1)+1,1,31))))</f>
        <v>0</v>
      </c>
      <c r="NK17" s="32">
        <f t="array" aca="1" ref="NK17" ca="1">SUMPRODUCT((OFFSET($A17,0,1,1,372)&lt;&gt;"")*(IF(OFFSET($A17,0,1,1,372)=$NK$6,0.5,1)*(OFFSET($A$6,0,1,1,372))))</f>
        <v>0</v>
      </c>
      <c r="NL17" s="28"/>
      <c r="NM17" s="28">
        <f t="shared" ca="1" si="6"/>
        <v>0</v>
      </c>
      <c r="NN17" s="18">
        <f t="shared" ca="1" si="9"/>
        <v>0</v>
      </c>
      <c r="NO17" s="18">
        <f t="shared" ca="1" si="9"/>
        <v>0</v>
      </c>
      <c r="NP17" s="18">
        <f t="shared" ca="1" si="9"/>
        <v>0</v>
      </c>
      <c r="NQ17" s="18">
        <f t="shared" ca="1" si="9"/>
        <v>0</v>
      </c>
      <c r="NR17" s="18">
        <f t="shared" ca="1" si="9"/>
        <v>0</v>
      </c>
    </row>
    <row r="18" spans="1:382" x14ac:dyDescent="0.25">
      <c r="A18" s="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c r="IW18" s="21"/>
      <c r="IX18" s="21"/>
      <c r="IY18" s="21"/>
      <c r="IZ18" s="21"/>
      <c r="JA18" s="21"/>
      <c r="JB18" s="21"/>
      <c r="JC18" s="21"/>
      <c r="JD18" s="21"/>
      <c r="JE18" s="21"/>
      <c r="JF18" s="21"/>
      <c r="JG18" s="21"/>
      <c r="JH18" s="21"/>
      <c r="JI18" s="21"/>
      <c r="JJ18" s="21"/>
      <c r="JK18" s="21"/>
      <c r="JL18" s="21"/>
      <c r="JM18" s="21"/>
      <c r="JN18" s="21"/>
      <c r="JO18" s="21"/>
      <c r="JP18" s="21"/>
      <c r="JQ18" s="21"/>
      <c r="JR18" s="21"/>
      <c r="JS18" s="21"/>
      <c r="JT18" s="21"/>
      <c r="JU18" s="21"/>
      <c r="JV18" s="21"/>
      <c r="JW18" s="21"/>
      <c r="JX18" s="21"/>
      <c r="JY18" s="21"/>
      <c r="JZ18" s="21"/>
      <c r="KA18" s="21"/>
      <c r="KB18" s="21"/>
      <c r="KC18" s="21"/>
      <c r="KD18" s="21"/>
      <c r="KE18" s="21"/>
      <c r="KF18" s="21"/>
      <c r="KG18" s="21"/>
      <c r="KH18" s="21"/>
      <c r="KI18" s="21"/>
      <c r="KJ18" s="21"/>
      <c r="KK18" s="21"/>
      <c r="KL18" s="21"/>
      <c r="KM18" s="21"/>
      <c r="KN18" s="21"/>
      <c r="KO18" s="21"/>
      <c r="KP18" s="21"/>
      <c r="KQ18" s="21"/>
      <c r="KR18" s="21"/>
      <c r="KS18" s="21"/>
      <c r="KT18" s="21"/>
      <c r="KU18" s="21"/>
      <c r="KV18" s="21"/>
      <c r="KW18" s="21"/>
      <c r="KX18" s="21"/>
      <c r="KY18" s="21"/>
      <c r="KZ18" s="21"/>
      <c r="LA18" s="21"/>
      <c r="LB18" s="21"/>
      <c r="LC18" s="21"/>
      <c r="LD18" s="21"/>
      <c r="LE18" s="21"/>
      <c r="LF18" s="21"/>
      <c r="LG18" s="21"/>
      <c r="LH18" s="21"/>
      <c r="LI18" s="21"/>
      <c r="LJ18" s="21"/>
      <c r="LK18" s="21"/>
      <c r="LL18" s="21"/>
      <c r="LM18" s="21"/>
      <c r="LN18" s="21"/>
      <c r="LO18" s="21"/>
      <c r="LP18" s="21"/>
      <c r="LQ18" s="21"/>
      <c r="LR18" s="21"/>
      <c r="LS18" s="21"/>
      <c r="LT18" s="21"/>
      <c r="LU18" s="21"/>
      <c r="LV18" s="21"/>
      <c r="LW18" s="21"/>
      <c r="LX18" s="21"/>
      <c r="LY18" s="21"/>
      <c r="LZ18" s="21"/>
      <c r="MA18" s="21"/>
      <c r="MB18" s="21"/>
      <c r="MC18" s="21"/>
      <c r="MD18" s="21"/>
      <c r="ME18" s="21"/>
      <c r="MF18" s="21"/>
      <c r="MG18" s="21"/>
      <c r="MH18" s="21"/>
      <c r="MI18" s="21"/>
      <c r="MJ18" s="21"/>
      <c r="MK18" s="21"/>
      <c r="ML18" s="21"/>
      <c r="MM18" s="21"/>
      <c r="MN18" s="21"/>
      <c r="MO18" s="21"/>
      <c r="MP18" s="21"/>
      <c r="MQ18" s="21"/>
      <c r="MR18" s="21"/>
      <c r="MS18" s="21"/>
      <c r="MT18" s="21"/>
      <c r="MU18" s="21"/>
      <c r="MV18" s="21"/>
      <c r="MW18" s="21"/>
      <c r="MX18" s="21"/>
      <c r="MY18" s="21"/>
      <c r="MZ18" s="21"/>
      <c r="NA18" s="21"/>
      <c r="NB18" s="21"/>
      <c r="NC18" s="21"/>
      <c r="ND18" s="21"/>
      <c r="NE18" s="21"/>
      <c r="NF18" s="21"/>
      <c r="NG18" s="21"/>
      <c r="NH18" s="21"/>
      <c r="NI18" s="21"/>
      <c r="NJ18" s="31">
        <f t="array" aca="1" ref="NJ18" ca="1">SUMPRODUCT((OFFSET($A18,0,31*($A$5-1)+1,1,31)&lt;&gt;"")*(IF(OFFSET($A18,0,31*($A$5-1)+1,1,31)=$NK$6,0.5,1)*(OFFSET($A$6,0,31*($A$5-1)+1,1,31))))</f>
        <v>0</v>
      </c>
      <c r="NK18" s="32">
        <f t="array" aca="1" ref="NK18" ca="1">SUMPRODUCT((OFFSET($A18,0,1,1,372)&lt;&gt;"")*(IF(OFFSET($A18,0,1,1,372)=$NK$6,0.5,1)*(OFFSET($A$6,0,1,1,372))))</f>
        <v>0</v>
      </c>
      <c r="NL18" s="28"/>
      <c r="NM18" s="28">
        <f t="shared" ca="1" si="6"/>
        <v>0</v>
      </c>
      <c r="NN18" s="18">
        <f t="shared" ca="1" si="9"/>
        <v>0</v>
      </c>
      <c r="NO18" s="18">
        <f t="shared" ca="1" si="9"/>
        <v>0</v>
      </c>
      <c r="NP18" s="18">
        <f t="shared" ca="1" si="9"/>
        <v>0</v>
      </c>
      <c r="NQ18" s="18">
        <f t="shared" ca="1" si="9"/>
        <v>0</v>
      </c>
      <c r="NR18" s="18">
        <f t="shared" ca="1" si="9"/>
        <v>0</v>
      </c>
    </row>
    <row r="19" spans="1:382" x14ac:dyDescent="0.25">
      <c r="A19" s="1"/>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c r="II19" s="21"/>
      <c r="IJ19" s="21"/>
      <c r="IK19" s="21"/>
      <c r="IL19" s="21"/>
      <c r="IM19" s="21"/>
      <c r="IN19" s="21"/>
      <c r="IO19" s="21"/>
      <c r="IP19" s="21"/>
      <c r="IQ19" s="21"/>
      <c r="IR19" s="21"/>
      <c r="IS19" s="21"/>
      <c r="IT19" s="21"/>
      <c r="IU19" s="21"/>
      <c r="IV19" s="21"/>
      <c r="IW19" s="21"/>
      <c r="IX19" s="21"/>
      <c r="IY19" s="21"/>
      <c r="IZ19" s="21"/>
      <c r="JA19" s="21"/>
      <c r="JB19" s="21"/>
      <c r="JC19" s="21"/>
      <c r="JD19" s="21"/>
      <c r="JE19" s="21"/>
      <c r="JF19" s="21"/>
      <c r="JG19" s="21"/>
      <c r="JH19" s="21"/>
      <c r="JI19" s="21"/>
      <c r="JJ19" s="21"/>
      <c r="JK19" s="21"/>
      <c r="JL19" s="21"/>
      <c r="JM19" s="21"/>
      <c r="JN19" s="21"/>
      <c r="JO19" s="21"/>
      <c r="JP19" s="21"/>
      <c r="JQ19" s="21"/>
      <c r="JR19" s="21"/>
      <c r="JS19" s="21"/>
      <c r="JT19" s="21"/>
      <c r="JU19" s="21"/>
      <c r="JV19" s="21"/>
      <c r="JW19" s="21"/>
      <c r="JX19" s="21"/>
      <c r="JY19" s="21"/>
      <c r="JZ19" s="21"/>
      <c r="KA19" s="21"/>
      <c r="KB19" s="21"/>
      <c r="KC19" s="21"/>
      <c r="KD19" s="21"/>
      <c r="KE19" s="21"/>
      <c r="KF19" s="21"/>
      <c r="KG19" s="21"/>
      <c r="KH19" s="21"/>
      <c r="KI19" s="21"/>
      <c r="KJ19" s="21"/>
      <c r="KK19" s="21"/>
      <c r="KL19" s="21"/>
      <c r="KM19" s="21"/>
      <c r="KN19" s="21"/>
      <c r="KO19" s="21"/>
      <c r="KP19" s="21"/>
      <c r="KQ19" s="21"/>
      <c r="KR19" s="21"/>
      <c r="KS19" s="21"/>
      <c r="KT19" s="21"/>
      <c r="KU19" s="21"/>
      <c r="KV19" s="21"/>
      <c r="KW19" s="21"/>
      <c r="KX19" s="21"/>
      <c r="KY19" s="21"/>
      <c r="KZ19" s="21"/>
      <c r="LA19" s="21"/>
      <c r="LB19" s="21"/>
      <c r="LC19" s="21"/>
      <c r="LD19" s="21"/>
      <c r="LE19" s="21"/>
      <c r="LF19" s="21"/>
      <c r="LG19" s="21"/>
      <c r="LH19" s="21"/>
      <c r="LI19" s="21"/>
      <c r="LJ19" s="21"/>
      <c r="LK19" s="21"/>
      <c r="LL19" s="21"/>
      <c r="LM19" s="21"/>
      <c r="LN19" s="21"/>
      <c r="LO19" s="21"/>
      <c r="LP19" s="21"/>
      <c r="LQ19" s="21"/>
      <c r="LR19" s="21"/>
      <c r="LS19" s="21"/>
      <c r="LT19" s="21"/>
      <c r="LU19" s="21"/>
      <c r="LV19" s="21"/>
      <c r="LW19" s="21"/>
      <c r="LX19" s="21"/>
      <c r="LY19" s="21"/>
      <c r="LZ19" s="21"/>
      <c r="MA19" s="21"/>
      <c r="MB19" s="21"/>
      <c r="MC19" s="21"/>
      <c r="MD19" s="21"/>
      <c r="ME19" s="21"/>
      <c r="MF19" s="21"/>
      <c r="MG19" s="21"/>
      <c r="MH19" s="21"/>
      <c r="MI19" s="21"/>
      <c r="MJ19" s="21"/>
      <c r="MK19" s="21"/>
      <c r="ML19" s="21"/>
      <c r="MM19" s="21"/>
      <c r="MN19" s="21"/>
      <c r="MO19" s="21"/>
      <c r="MP19" s="21"/>
      <c r="MQ19" s="21"/>
      <c r="MR19" s="21"/>
      <c r="MS19" s="21"/>
      <c r="MT19" s="21"/>
      <c r="MU19" s="21"/>
      <c r="MV19" s="21"/>
      <c r="MW19" s="21"/>
      <c r="MX19" s="21"/>
      <c r="MY19" s="21"/>
      <c r="MZ19" s="21"/>
      <c r="NA19" s="21"/>
      <c r="NB19" s="21"/>
      <c r="NC19" s="21"/>
      <c r="ND19" s="21"/>
      <c r="NE19" s="21"/>
      <c r="NF19" s="21"/>
      <c r="NG19" s="21"/>
      <c r="NH19" s="21"/>
      <c r="NI19" s="21"/>
      <c r="NJ19" s="31">
        <f t="array" aca="1" ref="NJ19" ca="1">SUMPRODUCT((OFFSET($A19,0,31*($A$5-1)+1,1,31)&lt;&gt;"")*(IF(OFFSET($A19,0,31*($A$5-1)+1,1,31)=$NK$6,0.5,1)*(OFFSET($A$6,0,31*($A$5-1)+1,1,31))))</f>
        <v>0</v>
      </c>
      <c r="NK19" s="32">
        <f t="array" aca="1" ref="NK19" ca="1">SUMPRODUCT((OFFSET($A19,0,1,1,372)&lt;&gt;"")*(IF(OFFSET($A19,0,1,1,372)=$NK$6,0.5,1)*(OFFSET($A$6,0,1,1,372))))</f>
        <v>0</v>
      </c>
      <c r="NL19" s="28"/>
      <c r="NM19" s="28">
        <f t="shared" ca="1" si="6"/>
        <v>0</v>
      </c>
      <c r="NN19" s="18">
        <f t="shared" ref="NN19:NR24" ca="1" si="10">SUMPRODUCT((OFFSET($A19,0,1,1,372)&lt;&gt;"")*(OFFSET($A$6,0,1,1,372))*((OFFSET($A19,0,1,1,372))=NN$8))</f>
        <v>0</v>
      </c>
      <c r="NO19" s="18">
        <f t="shared" ca="1" si="10"/>
        <v>0</v>
      </c>
      <c r="NP19" s="18">
        <f t="shared" ca="1" si="10"/>
        <v>0</v>
      </c>
      <c r="NQ19" s="18">
        <f t="shared" ca="1" si="10"/>
        <v>0</v>
      </c>
      <c r="NR19" s="18">
        <f t="shared" ca="1" si="10"/>
        <v>0</v>
      </c>
    </row>
    <row r="20" spans="1:382" x14ac:dyDescent="0.25">
      <c r="A20" s="1"/>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c r="IM20" s="21"/>
      <c r="IN20" s="21"/>
      <c r="IO20" s="21"/>
      <c r="IP20" s="21"/>
      <c r="IQ20" s="21"/>
      <c r="IR20" s="21"/>
      <c r="IS20" s="21"/>
      <c r="IT20" s="21"/>
      <c r="IU20" s="21"/>
      <c r="IV20" s="21"/>
      <c r="IW20" s="21"/>
      <c r="IX20" s="21"/>
      <c r="IY20" s="21"/>
      <c r="IZ20" s="21"/>
      <c r="JA20" s="21"/>
      <c r="JB20" s="21"/>
      <c r="JC20" s="21"/>
      <c r="JD20" s="21"/>
      <c r="JE20" s="21"/>
      <c r="JF20" s="21"/>
      <c r="JG20" s="21"/>
      <c r="JH20" s="21"/>
      <c r="JI20" s="21"/>
      <c r="JJ20" s="21"/>
      <c r="JK20" s="21"/>
      <c r="JL20" s="21"/>
      <c r="JM20" s="21"/>
      <c r="JN20" s="21"/>
      <c r="JO20" s="21"/>
      <c r="JP20" s="21"/>
      <c r="JQ20" s="21"/>
      <c r="JR20" s="21"/>
      <c r="JS20" s="21"/>
      <c r="JT20" s="21"/>
      <c r="JU20" s="21"/>
      <c r="JV20" s="21"/>
      <c r="JW20" s="21"/>
      <c r="JX20" s="21"/>
      <c r="JY20" s="21"/>
      <c r="JZ20" s="21"/>
      <c r="KA20" s="21"/>
      <c r="KB20" s="21"/>
      <c r="KC20" s="21"/>
      <c r="KD20" s="21"/>
      <c r="KE20" s="21"/>
      <c r="KF20" s="21"/>
      <c r="KG20" s="21"/>
      <c r="KH20" s="21"/>
      <c r="KI20" s="21"/>
      <c r="KJ20" s="21"/>
      <c r="KK20" s="21"/>
      <c r="KL20" s="21"/>
      <c r="KM20" s="21"/>
      <c r="KN20" s="21"/>
      <c r="KO20" s="21"/>
      <c r="KP20" s="21"/>
      <c r="KQ20" s="21"/>
      <c r="KR20" s="21"/>
      <c r="KS20" s="21"/>
      <c r="KT20" s="21"/>
      <c r="KU20" s="21"/>
      <c r="KV20" s="21"/>
      <c r="KW20" s="21"/>
      <c r="KX20" s="21"/>
      <c r="KY20" s="21"/>
      <c r="KZ20" s="21"/>
      <c r="LA20" s="21"/>
      <c r="LB20" s="21"/>
      <c r="LC20" s="21"/>
      <c r="LD20" s="21"/>
      <c r="LE20" s="21"/>
      <c r="LF20" s="21"/>
      <c r="LG20" s="21"/>
      <c r="LH20" s="21"/>
      <c r="LI20" s="21"/>
      <c r="LJ20" s="21"/>
      <c r="LK20" s="21"/>
      <c r="LL20" s="21"/>
      <c r="LM20" s="21"/>
      <c r="LN20" s="21"/>
      <c r="LO20" s="21"/>
      <c r="LP20" s="21"/>
      <c r="LQ20" s="21"/>
      <c r="LR20" s="21"/>
      <c r="LS20" s="21"/>
      <c r="LT20" s="21"/>
      <c r="LU20" s="21"/>
      <c r="LV20" s="21"/>
      <c r="LW20" s="21"/>
      <c r="LX20" s="21"/>
      <c r="LY20" s="21"/>
      <c r="LZ20" s="21"/>
      <c r="MA20" s="21"/>
      <c r="MB20" s="21"/>
      <c r="MC20" s="21"/>
      <c r="MD20" s="21"/>
      <c r="ME20" s="21"/>
      <c r="MF20" s="21"/>
      <c r="MG20" s="21"/>
      <c r="MH20" s="21"/>
      <c r="MI20" s="21"/>
      <c r="MJ20" s="21"/>
      <c r="MK20" s="21"/>
      <c r="ML20" s="21"/>
      <c r="MM20" s="21"/>
      <c r="MN20" s="21"/>
      <c r="MO20" s="21"/>
      <c r="MP20" s="21"/>
      <c r="MQ20" s="21"/>
      <c r="MR20" s="21"/>
      <c r="MS20" s="21"/>
      <c r="MT20" s="21"/>
      <c r="MU20" s="21"/>
      <c r="MV20" s="21"/>
      <c r="MW20" s="21"/>
      <c r="MX20" s="21"/>
      <c r="MY20" s="21"/>
      <c r="MZ20" s="21"/>
      <c r="NA20" s="21"/>
      <c r="NB20" s="21"/>
      <c r="NC20" s="21"/>
      <c r="ND20" s="21"/>
      <c r="NE20" s="21"/>
      <c r="NF20" s="21"/>
      <c r="NG20" s="21"/>
      <c r="NH20" s="21"/>
      <c r="NI20" s="21"/>
      <c r="NJ20" s="31">
        <f t="array" aca="1" ref="NJ20" ca="1">SUMPRODUCT((OFFSET($A20,0,31*($A$5-1)+1,1,31)&lt;&gt;"")*(IF(OFFSET($A20,0,31*($A$5-1)+1,1,31)=$NK$6,0.5,1)*(OFFSET($A$6,0,31*($A$5-1)+1,1,31))))</f>
        <v>0</v>
      </c>
      <c r="NK20" s="32">
        <f t="array" aca="1" ref="NK20" ca="1">SUMPRODUCT((OFFSET($A20,0,1,1,372)&lt;&gt;"")*(IF(OFFSET($A20,0,1,1,372)=$NK$6,0.5,1)*(OFFSET($A$6,0,1,1,372))))</f>
        <v>0</v>
      </c>
      <c r="NL20" s="28"/>
      <c r="NM20" s="28">
        <f t="shared" ca="1" si="6"/>
        <v>0</v>
      </c>
      <c r="NN20" s="18">
        <f t="shared" ca="1" si="10"/>
        <v>0</v>
      </c>
      <c r="NO20" s="18">
        <f t="shared" ca="1" si="10"/>
        <v>0</v>
      </c>
      <c r="NP20" s="18">
        <f t="shared" ca="1" si="10"/>
        <v>0</v>
      </c>
      <c r="NQ20" s="18">
        <f t="shared" ca="1" si="10"/>
        <v>0</v>
      </c>
      <c r="NR20" s="18">
        <f t="shared" ca="1" si="10"/>
        <v>0</v>
      </c>
    </row>
    <row r="21" spans="1:382" x14ac:dyDescent="0.25">
      <c r="A21" s="1"/>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c r="IW21" s="21"/>
      <c r="IX21" s="21"/>
      <c r="IY21" s="21"/>
      <c r="IZ21" s="21"/>
      <c r="JA21" s="21"/>
      <c r="JB21" s="21"/>
      <c r="JC21" s="21"/>
      <c r="JD21" s="21"/>
      <c r="JE21" s="21"/>
      <c r="JF21" s="21"/>
      <c r="JG21" s="21"/>
      <c r="JH21" s="21"/>
      <c r="JI21" s="21"/>
      <c r="JJ21" s="21"/>
      <c r="JK21" s="21"/>
      <c r="JL21" s="21"/>
      <c r="JM21" s="21"/>
      <c r="JN21" s="21"/>
      <c r="JO21" s="21"/>
      <c r="JP21" s="21"/>
      <c r="JQ21" s="21"/>
      <c r="JR21" s="21"/>
      <c r="JS21" s="21"/>
      <c r="JT21" s="21"/>
      <c r="JU21" s="21"/>
      <c r="JV21" s="21"/>
      <c r="JW21" s="21"/>
      <c r="JX21" s="21"/>
      <c r="JY21" s="21"/>
      <c r="JZ21" s="21"/>
      <c r="KA21" s="21"/>
      <c r="KB21" s="21"/>
      <c r="KC21" s="21"/>
      <c r="KD21" s="21"/>
      <c r="KE21" s="21"/>
      <c r="KF21" s="21"/>
      <c r="KG21" s="21"/>
      <c r="KH21" s="21"/>
      <c r="KI21" s="21"/>
      <c r="KJ21" s="21"/>
      <c r="KK21" s="21"/>
      <c r="KL21" s="21"/>
      <c r="KM21" s="21"/>
      <c r="KN21" s="21"/>
      <c r="KO21" s="21"/>
      <c r="KP21" s="21"/>
      <c r="KQ21" s="21"/>
      <c r="KR21" s="21"/>
      <c r="KS21" s="21"/>
      <c r="KT21" s="21"/>
      <c r="KU21" s="21"/>
      <c r="KV21" s="21"/>
      <c r="KW21" s="21"/>
      <c r="KX21" s="21"/>
      <c r="KY21" s="21"/>
      <c r="KZ21" s="21"/>
      <c r="LA21" s="21"/>
      <c r="LB21" s="21"/>
      <c r="LC21" s="21"/>
      <c r="LD21" s="21"/>
      <c r="LE21" s="21"/>
      <c r="LF21" s="21"/>
      <c r="LG21" s="21"/>
      <c r="LH21" s="21"/>
      <c r="LI21" s="21"/>
      <c r="LJ21" s="21"/>
      <c r="LK21" s="21"/>
      <c r="LL21" s="21"/>
      <c r="LM21" s="21"/>
      <c r="LN21" s="21"/>
      <c r="LO21" s="21"/>
      <c r="LP21" s="21"/>
      <c r="LQ21" s="21"/>
      <c r="LR21" s="21"/>
      <c r="LS21" s="21"/>
      <c r="LT21" s="21"/>
      <c r="LU21" s="21"/>
      <c r="LV21" s="21"/>
      <c r="LW21" s="21"/>
      <c r="LX21" s="21"/>
      <c r="LY21" s="21"/>
      <c r="LZ21" s="21"/>
      <c r="MA21" s="21"/>
      <c r="MB21" s="21"/>
      <c r="MC21" s="21"/>
      <c r="MD21" s="21"/>
      <c r="ME21" s="21"/>
      <c r="MF21" s="21"/>
      <c r="MG21" s="21"/>
      <c r="MH21" s="21"/>
      <c r="MI21" s="21"/>
      <c r="MJ21" s="21"/>
      <c r="MK21" s="21"/>
      <c r="ML21" s="21"/>
      <c r="MM21" s="21"/>
      <c r="MN21" s="21"/>
      <c r="MO21" s="21"/>
      <c r="MP21" s="21"/>
      <c r="MQ21" s="21"/>
      <c r="MR21" s="21"/>
      <c r="MS21" s="21"/>
      <c r="MT21" s="21"/>
      <c r="MU21" s="21"/>
      <c r="MV21" s="21"/>
      <c r="MW21" s="21"/>
      <c r="MX21" s="21"/>
      <c r="MY21" s="21"/>
      <c r="MZ21" s="21"/>
      <c r="NA21" s="21"/>
      <c r="NB21" s="21"/>
      <c r="NC21" s="21"/>
      <c r="ND21" s="21"/>
      <c r="NE21" s="21"/>
      <c r="NF21" s="21"/>
      <c r="NG21" s="21"/>
      <c r="NH21" s="21"/>
      <c r="NI21" s="21"/>
      <c r="NJ21" s="31">
        <f t="array" aca="1" ref="NJ21" ca="1">SUMPRODUCT((OFFSET($A21,0,31*($A$5-1)+1,1,31)&lt;&gt;"")*(IF(OFFSET($A21,0,31*($A$5-1)+1,1,31)=$NK$6,0.5,1)*(OFFSET($A$6,0,31*($A$5-1)+1,1,31))))</f>
        <v>0</v>
      </c>
      <c r="NK21" s="32">
        <f t="array" aca="1" ref="NK21" ca="1">SUMPRODUCT((OFFSET($A21,0,1,1,372)&lt;&gt;"")*(IF(OFFSET($A21,0,1,1,372)=$NK$6,0.5,1)*(OFFSET($A$6,0,1,1,372))))</f>
        <v>0</v>
      </c>
      <c r="NL21" s="28"/>
      <c r="NM21" s="28">
        <f t="shared" ca="1" si="6"/>
        <v>0</v>
      </c>
      <c r="NN21" s="18">
        <f t="shared" ca="1" si="10"/>
        <v>0</v>
      </c>
      <c r="NO21" s="18">
        <f t="shared" ca="1" si="10"/>
        <v>0</v>
      </c>
      <c r="NP21" s="18">
        <f t="shared" ca="1" si="10"/>
        <v>0</v>
      </c>
      <c r="NQ21" s="18">
        <f t="shared" ca="1" si="10"/>
        <v>0</v>
      </c>
      <c r="NR21" s="18">
        <f t="shared" ca="1" si="10"/>
        <v>0</v>
      </c>
    </row>
    <row r="22" spans="1:382" x14ac:dyDescent="0.25">
      <c r="A22" s="1"/>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c r="IO22" s="21"/>
      <c r="IP22" s="21"/>
      <c r="IQ22" s="21"/>
      <c r="IR22" s="21"/>
      <c r="IS22" s="21"/>
      <c r="IT22" s="21"/>
      <c r="IU22" s="21"/>
      <c r="IV22" s="21"/>
      <c r="IW22" s="21"/>
      <c r="IX22" s="21"/>
      <c r="IY22" s="21"/>
      <c r="IZ22" s="21"/>
      <c r="JA22" s="21"/>
      <c r="JB22" s="21"/>
      <c r="JC22" s="21"/>
      <c r="JD22" s="21"/>
      <c r="JE22" s="21"/>
      <c r="JF22" s="21"/>
      <c r="JG22" s="21"/>
      <c r="JH22" s="21"/>
      <c r="JI22" s="21"/>
      <c r="JJ22" s="21"/>
      <c r="JK22" s="21"/>
      <c r="JL22" s="21"/>
      <c r="JM22" s="21"/>
      <c r="JN22" s="21"/>
      <c r="JO22" s="21"/>
      <c r="JP22" s="21"/>
      <c r="JQ22" s="21"/>
      <c r="JR22" s="21"/>
      <c r="JS22" s="21"/>
      <c r="JT22" s="21"/>
      <c r="JU22" s="21"/>
      <c r="JV22" s="21"/>
      <c r="JW22" s="21"/>
      <c r="JX22" s="21"/>
      <c r="JY22" s="21"/>
      <c r="JZ22" s="21"/>
      <c r="KA22" s="21"/>
      <c r="KB22" s="21"/>
      <c r="KC22" s="21"/>
      <c r="KD22" s="21"/>
      <c r="KE22" s="21"/>
      <c r="KF22" s="21"/>
      <c r="KG22" s="21"/>
      <c r="KH22" s="21"/>
      <c r="KI22" s="21"/>
      <c r="KJ22" s="21"/>
      <c r="KK22" s="21"/>
      <c r="KL22" s="21"/>
      <c r="KM22" s="21"/>
      <c r="KN22" s="21"/>
      <c r="KO22" s="21"/>
      <c r="KP22" s="21"/>
      <c r="KQ22" s="21"/>
      <c r="KR22" s="21"/>
      <c r="KS22" s="21"/>
      <c r="KT22" s="21"/>
      <c r="KU22" s="21"/>
      <c r="KV22" s="21"/>
      <c r="KW22" s="21"/>
      <c r="KX22" s="21"/>
      <c r="KY22" s="21"/>
      <c r="KZ22" s="21"/>
      <c r="LA22" s="21"/>
      <c r="LB22" s="21"/>
      <c r="LC22" s="21"/>
      <c r="LD22" s="21"/>
      <c r="LE22" s="21"/>
      <c r="LF22" s="21"/>
      <c r="LG22" s="21"/>
      <c r="LH22" s="21"/>
      <c r="LI22" s="21"/>
      <c r="LJ22" s="21"/>
      <c r="LK22" s="21"/>
      <c r="LL22" s="21"/>
      <c r="LM22" s="21"/>
      <c r="LN22" s="21"/>
      <c r="LO22" s="21"/>
      <c r="LP22" s="21"/>
      <c r="LQ22" s="21"/>
      <c r="LR22" s="21"/>
      <c r="LS22" s="21"/>
      <c r="LT22" s="21"/>
      <c r="LU22" s="21"/>
      <c r="LV22" s="21"/>
      <c r="LW22" s="21"/>
      <c r="LX22" s="21"/>
      <c r="LY22" s="21"/>
      <c r="LZ22" s="21"/>
      <c r="MA22" s="21"/>
      <c r="MB22" s="21"/>
      <c r="MC22" s="21"/>
      <c r="MD22" s="21"/>
      <c r="ME22" s="21"/>
      <c r="MF22" s="21"/>
      <c r="MG22" s="21"/>
      <c r="MH22" s="21"/>
      <c r="MI22" s="21"/>
      <c r="MJ22" s="21"/>
      <c r="MK22" s="21"/>
      <c r="ML22" s="21"/>
      <c r="MM22" s="21"/>
      <c r="MN22" s="21"/>
      <c r="MO22" s="21"/>
      <c r="MP22" s="21"/>
      <c r="MQ22" s="21"/>
      <c r="MR22" s="21"/>
      <c r="MS22" s="21"/>
      <c r="MT22" s="21"/>
      <c r="MU22" s="21"/>
      <c r="MV22" s="21"/>
      <c r="MW22" s="21"/>
      <c r="MX22" s="21"/>
      <c r="MY22" s="21"/>
      <c r="MZ22" s="21"/>
      <c r="NA22" s="21"/>
      <c r="NB22" s="21"/>
      <c r="NC22" s="21"/>
      <c r="ND22" s="21"/>
      <c r="NE22" s="21"/>
      <c r="NF22" s="21"/>
      <c r="NG22" s="21"/>
      <c r="NH22" s="21"/>
      <c r="NI22" s="21"/>
      <c r="NJ22" s="31">
        <f t="array" aca="1" ref="NJ22" ca="1">SUMPRODUCT((OFFSET($A22,0,31*($A$5-1)+1,1,31)&lt;&gt;"")*(IF(OFFSET($A22,0,31*($A$5-1)+1,1,31)=$NK$6,0.5,1)*(OFFSET($A$6,0,31*($A$5-1)+1,1,31))))</f>
        <v>0</v>
      </c>
      <c r="NK22" s="32">
        <f t="array" aca="1" ref="NK22" ca="1">SUMPRODUCT((OFFSET($A22,0,1,1,372)&lt;&gt;"")*(IF(OFFSET($A22,0,1,1,372)=$NK$6,0.5,1)*(OFFSET($A$6,0,1,1,372))))</f>
        <v>0</v>
      </c>
      <c r="NL22" s="28"/>
      <c r="NM22" s="28">
        <f t="shared" ca="1" si="6"/>
        <v>0</v>
      </c>
      <c r="NN22" s="18">
        <f t="shared" ca="1" si="10"/>
        <v>0</v>
      </c>
      <c r="NO22" s="18">
        <f t="shared" ca="1" si="10"/>
        <v>0</v>
      </c>
      <c r="NP22" s="18">
        <f t="shared" ca="1" si="10"/>
        <v>0</v>
      </c>
      <c r="NQ22" s="18">
        <f t="shared" ca="1" si="10"/>
        <v>0</v>
      </c>
      <c r="NR22" s="18">
        <f t="shared" ca="1" si="10"/>
        <v>0</v>
      </c>
    </row>
    <row r="23" spans="1:382" x14ac:dyDescent="0.25">
      <c r="A23" s="1"/>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c r="II23" s="21"/>
      <c r="IJ23" s="21"/>
      <c r="IK23" s="21"/>
      <c r="IL23" s="21"/>
      <c r="IM23" s="21"/>
      <c r="IN23" s="21"/>
      <c r="IO23" s="21"/>
      <c r="IP23" s="21"/>
      <c r="IQ23" s="21"/>
      <c r="IR23" s="21"/>
      <c r="IS23" s="21"/>
      <c r="IT23" s="21"/>
      <c r="IU23" s="21"/>
      <c r="IV23" s="21"/>
      <c r="IW23" s="21"/>
      <c r="IX23" s="21"/>
      <c r="IY23" s="21"/>
      <c r="IZ23" s="21"/>
      <c r="JA23" s="21"/>
      <c r="JB23" s="21"/>
      <c r="JC23" s="21"/>
      <c r="JD23" s="21"/>
      <c r="JE23" s="21"/>
      <c r="JF23" s="21"/>
      <c r="JG23" s="21"/>
      <c r="JH23" s="21"/>
      <c r="JI23" s="21"/>
      <c r="JJ23" s="21"/>
      <c r="JK23" s="21"/>
      <c r="JL23" s="21"/>
      <c r="JM23" s="21"/>
      <c r="JN23" s="21"/>
      <c r="JO23" s="21"/>
      <c r="JP23" s="21"/>
      <c r="JQ23" s="21"/>
      <c r="JR23" s="21"/>
      <c r="JS23" s="21"/>
      <c r="JT23" s="21"/>
      <c r="JU23" s="21"/>
      <c r="JV23" s="21"/>
      <c r="JW23" s="21"/>
      <c r="JX23" s="21"/>
      <c r="JY23" s="21"/>
      <c r="JZ23" s="21"/>
      <c r="KA23" s="21"/>
      <c r="KB23" s="21"/>
      <c r="KC23" s="21"/>
      <c r="KD23" s="21"/>
      <c r="KE23" s="21"/>
      <c r="KF23" s="21"/>
      <c r="KG23" s="21"/>
      <c r="KH23" s="21"/>
      <c r="KI23" s="21"/>
      <c r="KJ23" s="21"/>
      <c r="KK23" s="21"/>
      <c r="KL23" s="21"/>
      <c r="KM23" s="21"/>
      <c r="KN23" s="21"/>
      <c r="KO23" s="21"/>
      <c r="KP23" s="21"/>
      <c r="KQ23" s="21"/>
      <c r="KR23" s="21"/>
      <c r="KS23" s="21"/>
      <c r="KT23" s="21"/>
      <c r="KU23" s="21"/>
      <c r="KV23" s="21"/>
      <c r="KW23" s="21"/>
      <c r="KX23" s="21"/>
      <c r="KY23" s="21"/>
      <c r="KZ23" s="21"/>
      <c r="LA23" s="21"/>
      <c r="LB23" s="21"/>
      <c r="LC23" s="21"/>
      <c r="LD23" s="21"/>
      <c r="LE23" s="21"/>
      <c r="LF23" s="21"/>
      <c r="LG23" s="21"/>
      <c r="LH23" s="21"/>
      <c r="LI23" s="21"/>
      <c r="LJ23" s="21"/>
      <c r="LK23" s="21"/>
      <c r="LL23" s="21"/>
      <c r="LM23" s="21"/>
      <c r="LN23" s="21"/>
      <c r="LO23" s="21"/>
      <c r="LP23" s="21"/>
      <c r="LQ23" s="21"/>
      <c r="LR23" s="21"/>
      <c r="LS23" s="21"/>
      <c r="LT23" s="21"/>
      <c r="LU23" s="21"/>
      <c r="LV23" s="21"/>
      <c r="LW23" s="21"/>
      <c r="LX23" s="21"/>
      <c r="LY23" s="21"/>
      <c r="LZ23" s="21"/>
      <c r="MA23" s="21"/>
      <c r="MB23" s="21"/>
      <c r="MC23" s="21"/>
      <c r="MD23" s="21"/>
      <c r="ME23" s="21"/>
      <c r="MF23" s="21"/>
      <c r="MG23" s="21"/>
      <c r="MH23" s="21"/>
      <c r="MI23" s="21"/>
      <c r="MJ23" s="21"/>
      <c r="MK23" s="21"/>
      <c r="ML23" s="21"/>
      <c r="MM23" s="21"/>
      <c r="MN23" s="21"/>
      <c r="MO23" s="21"/>
      <c r="MP23" s="21"/>
      <c r="MQ23" s="21"/>
      <c r="MR23" s="21"/>
      <c r="MS23" s="21"/>
      <c r="MT23" s="21"/>
      <c r="MU23" s="21"/>
      <c r="MV23" s="21"/>
      <c r="MW23" s="21"/>
      <c r="MX23" s="21"/>
      <c r="MY23" s="21"/>
      <c r="MZ23" s="21"/>
      <c r="NA23" s="21"/>
      <c r="NB23" s="21"/>
      <c r="NC23" s="21"/>
      <c r="ND23" s="21"/>
      <c r="NE23" s="21"/>
      <c r="NF23" s="21"/>
      <c r="NG23" s="21"/>
      <c r="NH23" s="21"/>
      <c r="NI23" s="21"/>
      <c r="NJ23" s="31">
        <f t="array" aca="1" ref="NJ23" ca="1">SUMPRODUCT((OFFSET($A23,0,31*($A$5-1)+1,1,31)&lt;&gt;"")*(IF(OFFSET($A23,0,31*($A$5-1)+1,1,31)=$NK$6,0.5,1)*(OFFSET($A$6,0,31*($A$5-1)+1,1,31))))</f>
        <v>0</v>
      </c>
      <c r="NK23" s="32">
        <f t="array" aca="1" ref="NK23" ca="1">SUMPRODUCT((OFFSET($A23,0,1,1,372)&lt;&gt;"")*(IF(OFFSET($A23,0,1,1,372)=$NK$6,0.5,1)*(OFFSET($A$6,0,1,1,372))))</f>
        <v>0</v>
      </c>
      <c r="NL23" s="28"/>
      <c r="NM23" s="28">
        <f t="shared" ca="1" si="6"/>
        <v>0</v>
      </c>
      <c r="NN23" s="18">
        <f t="shared" ca="1" si="10"/>
        <v>0</v>
      </c>
      <c r="NO23" s="18">
        <f t="shared" ca="1" si="10"/>
        <v>0</v>
      </c>
      <c r="NP23" s="18">
        <f t="shared" ca="1" si="10"/>
        <v>0</v>
      </c>
      <c r="NQ23" s="18">
        <f t="shared" ca="1" si="10"/>
        <v>0</v>
      </c>
      <c r="NR23" s="18">
        <f t="shared" ca="1" si="10"/>
        <v>0</v>
      </c>
    </row>
    <row r="24" spans="1:382" x14ac:dyDescent="0.25">
      <c r="A24" s="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c r="IW24" s="21"/>
      <c r="IX24" s="21"/>
      <c r="IY24" s="21"/>
      <c r="IZ24" s="21"/>
      <c r="JA24" s="21"/>
      <c r="JB24" s="21"/>
      <c r="JC24" s="21"/>
      <c r="JD24" s="21"/>
      <c r="JE24" s="21"/>
      <c r="JF24" s="21"/>
      <c r="JG24" s="21"/>
      <c r="JH24" s="21"/>
      <c r="JI24" s="21"/>
      <c r="JJ24" s="21"/>
      <c r="JK24" s="21"/>
      <c r="JL24" s="21"/>
      <c r="JM24" s="21"/>
      <c r="JN24" s="21"/>
      <c r="JO24" s="21"/>
      <c r="JP24" s="21"/>
      <c r="JQ24" s="21"/>
      <c r="JR24" s="21"/>
      <c r="JS24" s="21"/>
      <c r="JT24" s="21"/>
      <c r="JU24" s="21"/>
      <c r="JV24" s="21"/>
      <c r="JW24" s="21"/>
      <c r="JX24" s="21"/>
      <c r="JY24" s="21"/>
      <c r="JZ24" s="21"/>
      <c r="KA24" s="21"/>
      <c r="KB24" s="21"/>
      <c r="KC24" s="21"/>
      <c r="KD24" s="21"/>
      <c r="KE24" s="21"/>
      <c r="KF24" s="21"/>
      <c r="KG24" s="21"/>
      <c r="KH24" s="21"/>
      <c r="KI24" s="21"/>
      <c r="KJ24" s="21"/>
      <c r="KK24" s="21"/>
      <c r="KL24" s="21"/>
      <c r="KM24" s="21"/>
      <c r="KN24" s="21"/>
      <c r="KO24" s="21"/>
      <c r="KP24" s="21"/>
      <c r="KQ24" s="21"/>
      <c r="KR24" s="21"/>
      <c r="KS24" s="21"/>
      <c r="KT24" s="21"/>
      <c r="KU24" s="21"/>
      <c r="KV24" s="21"/>
      <c r="KW24" s="21"/>
      <c r="KX24" s="21"/>
      <c r="KY24" s="21"/>
      <c r="KZ24" s="21"/>
      <c r="LA24" s="21"/>
      <c r="LB24" s="21"/>
      <c r="LC24" s="21"/>
      <c r="LD24" s="21"/>
      <c r="LE24" s="21"/>
      <c r="LF24" s="21"/>
      <c r="LG24" s="21"/>
      <c r="LH24" s="21"/>
      <c r="LI24" s="21"/>
      <c r="LJ24" s="21"/>
      <c r="LK24" s="21"/>
      <c r="LL24" s="21"/>
      <c r="LM24" s="21"/>
      <c r="LN24" s="21"/>
      <c r="LO24" s="21"/>
      <c r="LP24" s="21"/>
      <c r="LQ24" s="21"/>
      <c r="LR24" s="21"/>
      <c r="LS24" s="21"/>
      <c r="LT24" s="21"/>
      <c r="LU24" s="21"/>
      <c r="LV24" s="21"/>
      <c r="LW24" s="21"/>
      <c r="LX24" s="21"/>
      <c r="LY24" s="21"/>
      <c r="LZ24" s="21"/>
      <c r="MA24" s="21"/>
      <c r="MB24" s="21"/>
      <c r="MC24" s="21"/>
      <c r="MD24" s="21"/>
      <c r="ME24" s="21"/>
      <c r="MF24" s="21"/>
      <c r="MG24" s="21"/>
      <c r="MH24" s="21"/>
      <c r="MI24" s="21"/>
      <c r="MJ24" s="21"/>
      <c r="MK24" s="21"/>
      <c r="ML24" s="21"/>
      <c r="MM24" s="21"/>
      <c r="MN24" s="21"/>
      <c r="MO24" s="21"/>
      <c r="MP24" s="21"/>
      <c r="MQ24" s="21"/>
      <c r="MR24" s="21"/>
      <c r="MS24" s="21"/>
      <c r="MT24" s="21"/>
      <c r="MU24" s="21"/>
      <c r="MV24" s="21"/>
      <c r="MW24" s="21"/>
      <c r="MX24" s="21"/>
      <c r="MY24" s="21"/>
      <c r="MZ24" s="21"/>
      <c r="NA24" s="21"/>
      <c r="NB24" s="21"/>
      <c r="NC24" s="21"/>
      <c r="ND24" s="21"/>
      <c r="NE24" s="21"/>
      <c r="NF24" s="21"/>
      <c r="NG24" s="21"/>
      <c r="NH24" s="21"/>
      <c r="NI24" s="21"/>
      <c r="NJ24" s="31">
        <f t="array" aca="1" ref="NJ24" ca="1">SUMPRODUCT((OFFSET($A24,0,31*($A$5-1)+1,1,31)&lt;&gt;"")*(IF(OFFSET($A24,0,31*($A$5-1)+1,1,31)=$NK$6,0.5,1)*(OFFSET($A$6,0,31*($A$5-1)+1,1,31))))</f>
        <v>0</v>
      </c>
      <c r="NK24" s="32">
        <f t="array" aca="1" ref="NK24" ca="1">SUMPRODUCT((OFFSET($A24,0,1,1,372)&lt;&gt;"")*(IF(OFFSET($A24,0,1,1,372)=$NK$6,0.5,1)*(OFFSET($A$6,0,1,1,372))))</f>
        <v>0</v>
      </c>
      <c r="NL24" s="28"/>
      <c r="NM24" s="28">
        <f t="shared" ca="1" si="6"/>
        <v>0</v>
      </c>
      <c r="NN24" s="18">
        <f t="shared" ca="1" si="10"/>
        <v>0</v>
      </c>
      <c r="NO24" s="18">
        <f t="shared" ca="1" si="10"/>
        <v>0</v>
      </c>
      <c r="NP24" s="18">
        <f t="shared" ca="1" si="10"/>
        <v>0</v>
      </c>
      <c r="NQ24" s="18">
        <f t="shared" ca="1" si="10"/>
        <v>0</v>
      </c>
      <c r="NR24" s="18">
        <f t="shared" ca="1" si="10"/>
        <v>0</v>
      </c>
    </row>
  </sheetData>
  <mergeCells count="9">
    <mergeCell ref="NQ8:NQ9"/>
    <mergeCell ref="NR8:NR9"/>
    <mergeCell ref="NJ8:NJ9"/>
    <mergeCell ref="NK8:NK9"/>
    <mergeCell ref="NN8:NN9"/>
    <mergeCell ref="NO8:NO9"/>
    <mergeCell ref="NP8:NP9"/>
    <mergeCell ref="NL8:NL9"/>
    <mergeCell ref="NM8:NM9"/>
  </mergeCells>
  <conditionalFormatting sqref="NU2:OF2">
    <cfRule type="expression" dxfId="6" priority="37">
      <formula>NU$4=$A$6</formula>
    </cfRule>
  </conditionalFormatting>
  <conditionalFormatting sqref="B10:NI24">
    <cfRule type="expression" dxfId="5" priority="38" stopIfTrue="1">
      <formula>ISNUMBER(MATCH(DATE($A$4,$A$3+$A$5-1,B$8),Feriados,0))</formula>
    </cfRule>
    <cfRule type="expression" dxfId="4" priority="39">
      <formula>OR(B10=$NK$2,B10=$NK$3,B10=$NK$4,B10=$NK$5)</formula>
    </cfRule>
    <cfRule type="expression" dxfId="3" priority="40">
      <formula>B10=$NK$6</formula>
    </cfRule>
  </conditionalFormatting>
  <dataValidations count="1">
    <dataValidation type="custom" allowBlank="1" showErrorMessage="1" errorTitle="Not a Valid Date" error="This isn't a valid Date" sqref="B10:NI24" xr:uid="{00000000-0002-0000-0100-000000000000}">
      <formula1>B$9&lt;&gt;""</formula1>
    </dataValidation>
  </dataValidations>
  <pageMargins left="0.7" right="0.7" top="0.75" bottom="0.75" header="0.3" footer="0.3"/>
  <pageSetup paperSize="9" scale="3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85" r:id="rId4" name="Scroll Bar 25">
              <controlPr defaultSize="0" autoPict="0" macro="[0]!mostrar">
                <anchor>
                  <from>
                    <xdr:col>346</xdr:col>
                    <xdr:colOff>9525</xdr:colOff>
                    <xdr:row>4</xdr:row>
                    <xdr:rowOff>9525</xdr:rowOff>
                  </from>
                  <to>
                    <xdr:col>359</xdr:col>
                    <xdr:colOff>190500</xdr:colOff>
                    <xdr:row>5</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0" id="{90FA73AA-9C43-480A-96F1-6FD9AC9C860D}">
            <xm:f>IF(VLOOKUP(B9,'Feriados y días laborables'!$D$3:$E$9,2,0)="No",TRUE,FALSE)</xm:f>
            <x14:dxf>
              <font>
                <b/>
                <i val="0"/>
                <color rgb="FFFFFF00"/>
              </font>
              <fill>
                <patternFill patternType="solid">
                  <bgColor rgb="FF00B050"/>
                </patternFill>
              </fill>
            </x14:dxf>
          </x14:cfRule>
          <xm:sqref>B9:AZ9 BB9:NI9</xm:sqref>
        </x14:conditionalFormatting>
        <x14:conditionalFormatting xmlns:xm="http://schemas.microsoft.com/office/excel/2006/main">
          <x14:cfRule type="expression" priority="21" stopIfTrue="1" id="{D789F88B-168A-499D-A0DC-F845EFDF6A44}">
            <xm:f>AND(B$8&lt;&gt;"",VLOOKUP(B$9,'Feriados y días laborables'!$D$3:$E$9,2,0)&lt;&gt;"Si")</xm:f>
            <x14:dxf>
              <fill>
                <gradientFill type="path" left="0.5" right="0.5" top="0.5" bottom="0.5">
                  <stop position="0">
                    <color theme="0"/>
                  </stop>
                  <stop position="1">
                    <color theme="0" tint="-0.25098422193060094"/>
                  </stop>
                </gradientFill>
              </fill>
              <border>
                <left style="thin">
                  <color auto="1"/>
                </left>
                <right style="thin">
                  <color auto="1"/>
                </right>
                <top style="thin">
                  <color auto="1"/>
                </top>
                <bottom style="thin">
                  <color auto="1"/>
                </bottom>
              </border>
            </x14:dxf>
          </x14:cfRule>
          <xm:sqref>B10:NI24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I12"/>
  <sheetViews>
    <sheetView workbookViewId="0">
      <selection activeCell="G3" sqref="G3"/>
    </sheetView>
  </sheetViews>
  <sheetFormatPr baseColWidth="10" defaultColWidth="9.140625" defaultRowHeight="15" x14ac:dyDescent="0.25"/>
  <cols>
    <col min="7" max="7" width="12.140625" bestFit="1" customWidth="1"/>
    <col min="9" max="9" width="9.7109375" bestFit="1" customWidth="1"/>
  </cols>
  <sheetData>
    <row r="1" spans="1:9" x14ac:dyDescent="0.25">
      <c r="A1" s="1" t="s">
        <v>2</v>
      </c>
      <c r="B1" s="1">
        <v>1</v>
      </c>
      <c r="D1">
        <v>1</v>
      </c>
      <c r="E1" t="s">
        <v>14</v>
      </c>
      <c r="G1" s="4" t="str">
        <f>INDEX($A$1:$A$12,MATCH('Dias tomados'!$A$3+'Dias tomados'!$A$5-1,Auxiliar!$B$1:$B$12,0))</f>
        <v>Diciembre</v>
      </c>
      <c r="H1" s="4"/>
      <c r="I1" s="4"/>
    </row>
    <row r="2" spans="1:9" x14ac:dyDescent="0.25">
      <c r="A2" s="1" t="s">
        <v>3</v>
      </c>
      <c r="B2" s="1">
        <v>2</v>
      </c>
      <c r="D2">
        <v>2</v>
      </c>
      <c r="E2" t="s">
        <v>15</v>
      </c>
      <c r="G2" s="4" t="str">
        <f>INDEX($A$1:$A$12,MATCH('Dias tomados'!$A$3+'Dias tomados'!$A$5-1,Auxiliar!$B$1:$B$12,0))</f>
        <v>Diciembre</v>
      </c>
    </row>
    <row r="3" spans="1:9" x14ac:dyDescent="0.25">
      <c r="A3" s="1" t="s">
        <v>4</v>
      </c>
      <c r="B3" s="1">
        <v>3</v>
      </c>
      <c r="D3">
        <v>3</v>
      </c>
      <c r="E3" t="s">
        <v>16</v>
      </c>
    </row>
    <row r="4" spans="1:9" x14ac:dyDescent="0.25">
      <c r="A4" s="1" t="s">
        <v>5</v>
      </c>
      <c r="B4" s="1">
        <v>4</v>
      </c>
      <c r="D4">
        <v>4</v>
      </c>
      <c r="E4" t="s">
        <v>17</v>
      </c>
      <c r="H4" s="25" t="s">
        <v>37</v>
      </c>
    </row>
    <row r="5" spans="1:9" x14ac:dyDescent="0.25">
      <c r="A5" s="1" t="s">
        <v>6</v>
      </c>
      <c r="B5" s="1">
        <v>5</v>
      </c>
      <c r="D5">
        <v>5</v>
      </c>
      <c r="E5" t="s">
        <v>18</v>
      </c>
    </row>
    <row r="6" spans="1:9" x14ac:dyDescent="0.25">
      <c r="A6" s="1" t="s">
        <v>7</v>
      </c>
      <c r="B6" s="1">
        <v>6</v>
      </c>
      <c r="D6">
        <v>6</v>
      </c>
      <c r="E6" t="s">
        <v>19</v>
      </c>
    </row>
    <row r="7" spans="1:9" x14ac:dyDescent="0.25">
      <c r="A7" s="1" t="s">
        <v>8</v>
      </c>
      <c r="B7" s="1">
        <v>7</v>
      </c>
      <c r="D7">
        <v>7</v>
      </c>
      <c r="E7" t="s">
        <v>20</v>
      </c>
    </row>
    <row r="8" spans="1:9" x14ac:dyDescent="0.25">
      <c r="A8" s="1" t="s">
        <v>9</v>
      </c>
      <c r="B8" s="1">
        <v>8</v>
      </c>
    </row>
    <row r="9" spans="1:9" x14ac:dyDescent="0.25">
      <c r="A9" s="1" t="s">
        <v>10</v>
      </c>
      <c r="B9" s="1">
        <v>9</v>
      </c>
    </row>
    <row r="10" spans="1:9" x14ac:dyDescent="0.25">
      <c r="A10" s="1" t="s">
        <v>11</v>
      </c>
      <c r="B10" s="1">
        <v>10</v>
      </c>
    </row>
    <row r="11" spans="1:9" x14ac:dyDescent="0.25">
      <c r="A11" s="1" t="s">
        <v>12</v>
      </c>
      <c r="B11" s="1">
        <v>11</v>
      </c>
    </row>
    <row r="12" spans="1:9" x14ac:dyDescent="0.25">
      <c r="A12" s="1" t="s">
        <v>13</v>
      </c>
      <c r="B12" s="1">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64"/>
  <sheetViews>
    <sheetView showGridLines="0" zoomScale="115" zoomScaleNormal="115" workbookViewId="0">
      <selection activeCell="B11" sqref="B11"/>
    </sheetView>
  </sheetViews>
  <sheetFormatPr baseColWidth="10" defaultColWidth="9.140625" defaultRowHeight="15" x14ac:dyDescent="0.25"/>
  <cols>
    <col min="1" max="1" width="24" bestFit="1" customWidth="1"/>
    <col min="2" max="2" width="12.140625" customWidth="1"/>
    <col min="4" max="4" width="10.42578125" bestFit="1" customWidth="1"/>
  </cols>
  <sheetData>
    <row r="2" spans="1:5" x14ac:dyDescent="0.25">
      <c r="A2" s="10" t="s">
        <v>30</v>
      </c>
      <c r="B2" s="11" t="s">
        <v>31</v>
      </c>
      <c r="D2" s="57" t="s">
        <v>28</v>
      </c>
      <c r="E2" s="58"/>
    </row>
    <row r="3" spans="1:5" x14ac:dyDescent="0.25">
      <c r="A3" s="12" t="s">
        <v>35</v>
      </c>
      <c r="B3" s="13">
        <v>45292</v>
      </c>
      <c r="D3" s="8" t="s">
        <v>14</v>
      </c>
      <c r="E3" s="8" t="s">
        <v>29</v>
      </c>
    </row>
    <row r="4" spans="1:5" x14ac:dyDescent="0.25">
      <c r="A4" s="40" t="s">
        <v>44</v>
      </c>
      <c r="B4" s="13">
        <v>45327</v>
      </c>
      <c r="D4" s="8" t="s">
        <v>15</v>
      </c>
      <c r="E4" s="8" t="s">
        <v>29</v>
      </c>
    </row>
    <row r="5" spans="1:5" x14ac:dyDescent="0.25">
      <c r="A5" s="12" t="s">
        <v>40</v>
      </c>
      <c r="B5" s="13">
        <v>45369</v>
      </c>
      <c r="D5" s="8" t="s">
        <v>16</v>
      </c>
      <c r="E5" s="8" t="s">
        <v>29</v>
      </c>
    </row>
    <row r="6" spans="1:5" x14ac:dyDescent="0.25">
      <c r="A6" s="12" t="s">
        <v>41</v>
      </c>
      <c r="B6" s="13">
        <v>45413</v>
      </c>
      <c r="D6" s="8" t="s">
        <v>17</v>
      </c>
      <c r="E6" s="8" t="s">
        <v>29</v>
      </c>
    </row>
    <row r="7" spans="1:5" x14ac:dyDescent="0.25">
      <c r="A7" s="12" t="s">
        <v>42</v>
      </c>
      <c r="B7" s="13">
        <v>45551</v>
      </c>
      <c r="D7" s="8" t="s">
        <v>18</v>
      </c>
      <c r="E7" s="8" t="s">
        <v>29</v>
      </c>
    </row>
    <row r="8" spans="1:5" x14ac:dyDescent="0.25">
      <c r="A8" s="12" t="s">
        <v>43</v>
      </c>
      <c r="B8" s="13">
        <v>45614</v>
      </c>
      <c r="D8" s="8" t="s">
        <v>19</v>
      </c>
      <c r="E8" s="8" t="s">
        <v>29</v>
      </c>
    </row>
    <row r="9" spans="1:5" x14ac:dyDescent="0.25">
      <c r="A9" s="12" t="s">
        <v>60</v>
      </c>
      <c r="B9" s="13">
        <v>45566</v>
      </c>
      <c r="D9" s="8" t="s">
        <v>20</v>
      </c>
      <c r="E9" s="8" t="s">
        <v>29</v>
      </c>
    </row>
    <row r="10" spans="1:5" x14ac:dyDescent="0.25">
      <c r="A10" s="12" t="s">
        <v>45</v>
      </c>
      <c r="B10" s="13">
        <v>45651</v>
      </c>
      <c r="E10" s="5"/>
    </row>
    <row r="11" spans="1:5" x14ac:dyDescent="0.25">
      <c r="A11" s="12" t="s">
        <v>46</v>
      </c>
      <c r="B11" s="13"/>
      <c r="E11" s="5"/>
    </row>
    <row r="12" spans="1:5" x14ac:dyDescent="0.25">
      <c r="A12" s="12" t="s">
        <v>46</v>
      </c>
      <c r="B12" s="13"/>
      <c r="E12" s="5"/>
    </row>
    <row r="13" spans="1:5" x14ac:dyDescent="0.25">
      <c r="A13" s="14"/>
      <c r="B13" s="15"/>
      <c r="E13" s="5"/>
    </row>
    <row r="14" spans="1:5" x14ac:dyDescent="0.25">
      <c r="A14" s="14" t="s">
        <v>47</v>
      </c>
      <c r="B14" s="15"/>
    </row>
    <row r="15" spans="1:5" x14ac:dyDescent="0.25">
      <c r="A15" s="41"/>
      <c r="B15" s="15"/>
    </row>
    <row r="16" spans="1:5" x14ac:dyDescent="0.25">
      <c r="A16" s="41" t="s">
        <v>56</v>
      </c>
      <c r="B16" s="15"/>
    </row>
    <row r="17" spans="1:2" x14ac:dyDescent="0.25">
      <c r="A17" s="14"/>
      <c r="B17" s="15"/>
    </row>
    <row r="18" spans="1:2" x14ac:dyDescent="0.25">
      <c r="A18" s="14"/>
      <c r="B18" s="15"/>
    </row>
    <row r="19" spans="1:2" x14ac:dyDescent="0.25">
      <c r="A19" s="14"/>
      <c r="B19" s="15"/>
    </row>
    <row r="20" spans="1:2" x14ac:dyDescent="0.25">
      <c r="A20" s="14"/>
      <c r="B20" s="15"/>
    </row>
    <row r="21" spans="1:2" x14ac:dyDescent="0.25">
      <c r="A21" s="14"/>
      <c r="B21" s="15"/>
    </row>
    <row r="22" spans="1:2" x14ac:dyDescent="0.25">
      <c r="A22" s="14"/>
      <c r="B22" s="15"/>
    </row>
    <row r="23" spans="1:2" x14ac:dyDescent="0.25">
      <c r="A23" s="14"/>
      <c r="B23" s="15"/>
    </row>
    <row r="24" spans="1:2" x14ac:dyDescent="0.25">
      <c r="A24" s="14"/>
      <c r="B24" s="15"/>
    </row>
    <row r="25" spans="1:2" x14ac:dyDescent="0.25">
      <c r="A25" s="14"/>
      <c r="B25" s="15"/>
    </row>
    <row r="26" spans="1:2" x14ac:dyDescent="0.25">
      <c r="A26" s="14"/>
      <c r="B26" s="15"/>
    </row>
    <row r="27" spans="1:2" x14ac:dyDescent="0.25">
      <c r="A27" s="14"/>
      <c r="B27" s="15"/>
    </row>
    <row r="28" spans="1:2" x14ac:dyDescent="0.25">
      <c r="A28" s="14"/>
      <c r="B28" s="15"/>
    </row>
    <row r="29" spans="1:2" x14ac:dyDescent="0.25">
      <c r="A29" s="14"/>
      <c r="B29" s="15"/>
    </row>
    <row r="30" spans="1:2" x14ac:dyDescent="0.25">
      <c r="A30" s="14"/>
      <c r="B30" s="15"/>
    </row>
    <row r="31" spans="1:2" x14ac:dyDescent="0.25">
      <c r="A31" s="14"/>
      <c r="B31" s="15"/>
    </row>
    <row r="32" spans="1:2" x14ac:dyDescent="0.25">
      <c r="A32" s="14"/>
      <c r="B32" s="15"/>
    </row>
    <row r="33" spans="1:2" x14ac:dyDescent="0.25">
      <c r="A33" s="14"/>
      <c r="B33" s="15"/>
    </row>
    <row r="34" spans="1:2" x14ac:dyDescent="0.25">
      <c r="A34" s="14"/>
      <c r="B34" s="15"/>
    </row>
    <row r="35" spans="1:2" x14ac:dyDescent="0.25">
      <c r="A35" s="14"/>
      <c r="B35" s="15"/>
    </row>
    <row r="36" spans="1:2" x14ac:dyDescent="0.25">
      <c r="A36" s="14"/>
      <c r="B36" s="15"/>
    </row>
    <row r="37" spans="1:2" x14ac:dyDescent="0.25">
      <c r="A37" s="14"/>
      <c r="B37" s="15"/>
    </row>
    <row r="38" spans="1:2" x14ac:dyDescent="0.25">
      <c r="A38" s="14"/>
      <c r="B38" s="15"/>
    </row>
    <row r="39" spans="1:2" x14ac:dyDescent="0.25">
      <c r="A39" s="14"/>
      <c r="B39" s="15"/>
    </row>
    <row r="40" spans="1:2" x14ac:dyDescent="0.25">
      <c r="A40" s="14"/>
      <c r="B40" s="15"/>
    </row>
    <row r="41" spans="1:2" x14ac:dyDescent="0.25">
      <c r="A41" s="14"/>
      <c r="B41" s="15"/>
    </row>
    <row r="42" spans="1:2" x14ac:dyDescent="0.25">
      <c r="A42" s="14"/>
      <c r="B42" s="15"/>
    </row>
    <row r="43" spans="1:2" x14ac:dyDescent="0.25">
      <c r="A43" s="14"/>
      <c r="B43" s="15"/>
    </row>
    <row r="44" spans="1:2" x14ac:dyDescent="0.25">
      <c r="A44" s="14"/>
      <c r="B44" s="15"/>
    </row>
    <row r="45" spans="1:2" x14ac:dyDescent="0.25">
      <c r="A45" s="14"/>
      <c r="B45" s="15"/>
    </row>
    <row r="46" spans="1:2" x14ac:dyDescent="0.25">
      <c r="A46" s="14"/>
      <c r="B46" s="15"/>
    </row>
    <row r="47" spans="1:2" x14ac:dyDescent="0.25">
      <c r="A47" s="14"/>
      <c r="B47" s="15"/>
    </row>
    <row r="48" spans="1:2" x14ac:dyDescent="0.25">
      <c r="A48" s="14"/>
      <c r="B48" s="15"/>
    </row>
    <row r="49" spans="1:2" x14ac:dyDescent="0.25">
      <c r="A49" s="14"/>
      <c r="B49" s="15"/>
    </row>
    <row r="50" spans="1:2" x14ac:dyDescent="0.25">
      <c r="A50" s="14"/>
      <c r="B50" s="15"/>
    </row>
    <row r="51" spans="1:2" x14ac:dyDescent="0.25">
      <c r="A51" s="14"/>
      <c r="B51" s="15"/>
    </row>
    <row r="52" spans="1:2" x14ac:dyDescent="0.25">
      <c r="A52" s="14"/>
      <c r="B52" s="15"/>
    </row>
    <row r="53" spans="1:2" x14ac:dyDescent="0.25">
      <c r="A53" s="14"/>
      <c r="B53" s="15"/>
    </row>
    <row r="54" spans="1:2" x14ac:dyDescent="0.25">
      <c r="A54" s="14"/>
      <c r="B54" s="15"/>
    </row>
    <row r="55" spans="1:2" x14ac:dyDescent="0.25">
      <c r="A55" s="14"/>
      <c r="B55" s="15"/>
    </row>
    <row r="56" spans="1:2" x14ac:dyDescent="0.25">
      <c r="A56" s="14"/>
      <c r="B56" s="15"/>
    </row>
    <row r="57" spans="1:2" x14ac:dyDescent="0.25">
      <c r="A57" s="14"/>
      <c r="B57" s="15"/>
    </row>
    <row r="58" spans="1:2" x14ac:dyDescent="0.25">
      <c r="A58" s="14"/>
      <c r="B58" s="15"/>
    </row>
    <row r="59" spans="1:2" x14ac:dyDescent="0.25">
      <c r="A59" s="14"/>
      <c r="B59" s="15"/>
    </row>
    <row r="60" spans="1:2" x14ac:dyDescent="0.25">
      <c r="A60" s="14"/>
      <c r="B60" s="15"/>
    </row>
    <row r="61" spans="1:2" x14ac:dyDescent="0.25">
      <c r="A61" s="14"/>
      <c r="B61" s="15"/>
    </row>
    <row r="62" spans="1:2" x14ac:dyDescent="0.25">
      <c r="A62" s="14"/>
      <c r="B62" s="15"/>
    </row>
    <row r="63" spans="1:2" x14ac:dyDescent="0.25">
      <c r="A63" s="14"/>
      <c r="B63" s="15"/>
    </row>
    <row r="64" spans="1:2" x14ac:dyDescent="0.25">
      <c r="A64" s="14"/>
      <c r="B64" s="15"/>
    </row>
  </sheetData>
  <mergeCells count="1">
    <mergeCell ref="D2:E2"/>
  </mergeCells>
  <conditionalFormatting sqref="E3:E9">
    <cfRule type="expression" dxfId="0" priority="1">
      <formula>E3="No"</formula>
    </cfRule>
  </conditionalFormatting>
  <dataValidations count="1">
    <dataValidation type="list" allowBlank="1" showInputMessage="1" showErrorMessage="1" sqref="E3:E9" xr:uid="{00000000-0002-0000-0300-000000000000}">
      <formula1>"Si, No"</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Instrucciones</vt:lpstr>
      <vt:lpstr>Dias tomados</vt:lpstr>
      <vt:lpstr>Auxiliar</vt:lpstr>
      <vt:lpstr>Feriados y días laborables</vt:lpstr>
      <vt:lpstr>Feriados</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Planilla Excel</dc:creator>
  <cp:lastModifiedBy>jose .</cp:lastModifiedBy>
  <cp:lastPrinted>2023-08-22T20:23:54Z</cp:lastPrinted>
  <dcterms:created xsi:type="dcterms:W3CDTF">2014-12-17T05:13:13Z</dcterms:created>
  <dcterms:modified xsi:type="dcterms:W3CDTF">2024-12-30T19:41:28Z</dcterms:modified>
</cp:coreProperties>
</file>